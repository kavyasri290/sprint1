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06"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38" documentId="8_{400576EC-F641-4D9C-AA78-332E83A64B5A}" xr6:coauthVersionLast="47" xr6:coauthVersionMax="47" xr10:uidLastSave="{113AD44B-1E40-45A7-B4C3-DB4F170A32F5}"/>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4" i="1" l="1"/>
  <c r="K23" i="2"/>
  <c r="K24"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<sst xmlns="http://schemas.openxmlformats.org/spreadsheetml/2006/main" count="669" uniqueCount="335">
  <si>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</si>
  <si>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</si>
  <si>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</si>
  <si>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</si>
  <si>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</si>
  <si>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</si>
  <si>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</si>
  <si>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</si>
  <si>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</si>
  <si>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</si>
  <si>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</si>
  <si>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</si>
  <si>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</si>
  <si>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</si>
  <si>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</si>
  <si>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</si>
  <si>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</si>
  <si>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</si>
  <si>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</si>
  <si>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</si>
  <si>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</si>
  <si>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</si>
  <si>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</si>
  <si>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</si>
  <si>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</si>
  <si>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</si>
  <si>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</si>
  <si>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</si>
  <si>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</si>
  <si>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</si>
  <si>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</si>
  <si>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</si>
  <si>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</si>
  <si>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</si>
  <si>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</si>
  <si>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</si>
  <si>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</si>
  <si>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</si>
  <si>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</si>
  <si>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</si>
  <si>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</si>
  <si>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</si>
  <si>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</si>
  <si>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</si>
  <si>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</si>
  <si>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</si>
  <si>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</si>
  <si>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</si>
  <si>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</si>
  <si>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</si>
  <si>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</si>
  <si>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</si>
  <si>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</si>
  <si>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</si>
  <si>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</si>
  <si>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</si>
  <si>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</si>
  <si>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</si>
  <si>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</si>
  <si>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</si>
  <si>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</si>
  <si>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</si>
  <si>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</si>
  <si>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</si>
  <si>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</si>
  <si>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</si>
  <si>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</si>
  <si>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</si>
  <si>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</si>
  <si>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</si>
  <si>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</si>
  <si>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</si>
  <si>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</si>
  <si>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</si>
  <si>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</si>
  <si>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</si>
  <si>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</si>
  <si>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</si>
  <si>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</si>
  <si>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</si>
  <si>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</si>
  <si>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</si>
  <si>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</si>
  <si>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</si>
  <si>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</si>
  <si>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</si>
  <si>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</si>
  <si>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</si>
  <si>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</si>
  <si>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</si>
  <si>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</si>
  <si>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</si>
  <si>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</si>
  <si>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</si>
  <si>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</si>
  <si>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</si>
  <si>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</si>
  <si>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</si>
  <si>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</si>
  <si>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</si>
  <si>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</si>
  <si>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</si>
  <si>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</si>
  <si>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</si>
  <si>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</si>
  <si>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</si>
  <si>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</si>
  <si>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</si>
  <si>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</si>
  <si>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</si>
  <si>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</si>
  <si>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</si>
  <si>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</si>
  <si>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</si>
  <si>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</si>
  <si>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</si>
  <si>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</si>
  <si>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</si>
  <si>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</si>
  <si>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</si>
  <si>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</si>
  <si>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</si>
  <si>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</si>
  <si>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</si>
  <si>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</si>
  <si>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</si>
  <si>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</si>
  <si>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</si>
  <si>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</si>
  <si>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</si>
  <si>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</si>
  <si>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</si>
  <si>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</si>
  <si>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</si>
  <si>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</si>
  <si>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</si>
  <si>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</si>
  <si>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</si>
  <si>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</si>
  <si>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</si>
  <si>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</si>
  <si>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</si>
  <si>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</si>
  <si>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</si>
  <si>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</si>
  <si>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</si>
  <si>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</si>
  <si>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</si>
  <si>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</si>
  <si>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</si>
  <si>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</si>
  <si>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</si>
  <si>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</si>
  <si>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</si>
  <si>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</si>
  <si>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</si>
  <si>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</si>
  <si>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</si>
  <si>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</si>
  <si>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</si>
  <si>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</si>
  <si>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</si>
  <si>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</si>
  <si>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</si>
  <si>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</si>
  <si>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</si>
  <si>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</si>
  <si>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</si>
  <si>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</si>
  <si>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Machine Job scheduling</t>
  </si>
  <si>
    <t>Function/ Class / Object</t>
  </si>
  <si>
    <t>Artifact Name</t>
  </si>
  <si>
    <t>Timing/ Serialization / Synchronization</t>
  </si>
  <si>
    <t>Artifact Type</t>
  </si>
  <si>
    <t>Interface/ O-O Messages</t>
  </si>
  <si>
    <t>Author</t>
  </si>
  <si>
    <t>Group1</t>
  </si>
  <si>
    <t>Reviewer</t>
  </si>
  <si>
    <t>Shailaja Patil</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</si>
  <si>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</si>
  <si>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</si>
  <si>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</si>
  <si>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</si>
  <si>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</si>
  <si>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</si>
  <si>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</si>
  <si>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rPr>
        <b/>
        <sz val="9"/>
        <color rgb="FFC00000"/>
        <rFont val="Arial"/>
      </rPr>
      <t xml:space="preserve">Phase-Injected Codes </t>
    </r>
    <r>
      <rPr>
        <i/>
        <sz val="9"/>
        <color rgb="FFC00000"/>
        <rFont val="Arial"/>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</si>
  <si>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</si>
  <si>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</si>
  <si>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</si>
  <si>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</si>
  <si>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</si>
  <si>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</si>
  <si>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</si>
  <si>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DUP = </t>
    </r>
    <r>
      <rPr>
        <sz val="10"/>
        <color theme="9" tint="-0.249977111117893"/>
        <rFont val="Arial"/>
        <family val="2"/>
      </rPr>
      <t>Duplicate</t>
    </r>
  </si>
  <si>
    <r>
      <t xml:space="preserve">E = </t>
    </r>
    <r>
      <rPr>
        <sz val="10"/>
        <color theme="9" tint="-0.249977111117893"/>
        <rFont val="Arial"/>
        <family val="2"/>
      </rPr>
      <t>Enhancement</t>
    </r>
  </si>
  <si>
    <r>
      <t xml:space="preserve">CO = </t>
    </r>
    <r>
      <rPr>
        <sz val="10"/>
        <color theme="9" tint="-0.249977111117893"/>
        <rFont val="Arial"/>
        <family val="2"/>
      </rPr>
      <t>Cosmetic</t>
    </r>
  </si>
  <si>
    <t>#</t>
  </si>
  <si>
    <t>Location</t>
  </si>
  <si>
    <t>Rating</t>
  </si>
  <si>
    <t xml:space="preserve">Phase-Injected </t>
  </si>
  <si>
    <t>After-meeting
Defect Disposition</t>
  </si>
  <si>
    <t>Defect Description</t>
  </si>
  <si>
    <t xml:space="preserve">Disposition Comments </t>
  </si>
  <si>
    <t>Defect Type/Root cause</t>
  </si>
  <si>
    <t xml:space="preserve">Phase-Detected </t>
  </si>
  <si>
    <t>MJ02</t>
  </si>
  <si>
    <t>main()</t>
  </si>
  <si>
    <t>CO</t>
  </si>
  <si>
    <t>E</t>
  </si>
  <si>
    <t>called limited functions</t>
  </si>
  <si>
    <t>called all functions</t>
  </si>
  <si>
    <t>MJ03</t>
  </si>
  <si>
    <t>Cut(),Bend(),Polish(),Pattern()</t>
  </si>
  <si>
    <t>Accepted</t>
  </si>
  <si>
    <t>MJ04</t>
  </si>
  <si>
    <t xml:space="preserve">Jobfiles </t>
  </si>
  <si>
    <t>to be in correct format</t>
  </si>
  <si>
    <t>MI</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</si>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</sst>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
      <b/>
      <sz val="9"/>
      <color rgb="FFC00000"/>
      <name val="Arial"/>
    </font>
    <font>
      <i/>
      <sz val="9"/>
      <color rgb="FFC00000"/>
      <name val="Arial"/>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6">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15" fontId="1" fillId="7" borderId="9" xfId="0" applyNumberFormat="1" applyFont="1" applyFill="1" applyBorder="1" applyAlignment="1">
      <alignment horizontal="center" vertical="center"/>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84"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2" fillId="20" borderId="47" xfId="0" applyFont="1" applyFill="1" applyBorder="1" applyAlignment="1">
      <alignment vertical="center" wrapText="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5" t="s">
        <v>3</v>
      </c>
      <c r="C2" s="186"/>
      <c r="D2" s="186"/>
      <c r="E2" s="186"/>
      <c r="F2" s="186"/>
      <c r="G2" s="186"/>
      <c r="H2" s="186"/>
      <c r="I2" s="186"/>
      <c r="J2" s="186"/>
      <c r="K2" s="186"/>
      <c r="L2" s="186"/>
      <c r="M2" s="187"/>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8" t="s">
        <v>27</v>
      </c>
      <c r="C4" s="189"/>
      <c r="D4" s="189"/>
      <c r="E4" s="189"/>
      <c r="F4" s="189"/>
      <c r="G4" s="189"/>
      <c r="H4" s="189"/>
      <c r="I4" s="189"/>
      <c r="J4" s="189"/>
      <c r="K4" s="189"/>
      <c r="L4" s="189"/>
      <c r="M4" s="189"/>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90" t="s">
        <v>39</v>
      </c>
      <c r="C6" s="172"/>
      <c r="D6" s="172"/>
      <c r="E6" s="172"/>
      <c r="F6" s="172"/>
      <c r="G6" s="172"/>
      <c r="H6" s="172"/>
      <c r="I6" s="172"/>
      <c r="J6" s="172"/>
      <c r="K6" s="172"/>
      <c r="L6" s="172"/>
      <c r="M6" s="172"/>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6" t="s">
        <v>48</v>
      </c>
      <c r="C8" s="166"/>
      <c r="D8" s="166"/>
      <c r="E8" s="46"/>
      <c r="F8" s="167" t="s">
        <v>49</v>
      </c>
      <c r="G8" s="167"/>
      <c r="H8" s="167"/>
      <c r="I8" s="167"/>
      <c r="J8" s="167"/>
      <c r="K8" s="167"/>
      <c r="L8" s="167"/>
      <c r="M8" s="167"/>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4" t="s">
        <v>54</v>
      </c>
      <c r="C9" s="164"/>
      <c r="D9" s="164"/>
      <c r="E9" s="45"/>
      <c r="F9" s="165" t="s">
        <v>4</v>
      </c>
      <c r="G9" s="165"/>
      <c r="H9" s="165"/>
      <c r="I9" s="165"/>
      <c r="J9" s="165"/>
      <c r="K9" s="165"/>
      <c r="L9" s="165"/>
      <c r="M9" s="165"/>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4" t="s">
        <v>58</v>
      </c>
      <c r="C10" s="164"/>
      <c r="D10" s="164"/>
      <c r="E10" s="45"/>
      <c r="F10" s="165" t="s">
        <v>12</v>
      </c>
      <c r="G10" s="165"/>
      <c r="H10" s="165"/>
      <c r="I10" s="165"/>
      <c r="J10" s="165"/>
      <c r="K10" s="165"/>
      <c r="L10" s="165"/>
      <c r="M10" s="165"/>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4" t="s">
        <v>63</v>
      </c>
      <c r="C11" s="164"/>
      <c r="D11" s="164"/>
      <c r="E11" s="45"/>
      <c r="F11" s="165">
        <v>1</v>
      </c>
      <c r="G11" s="165"/>
      <c r="H11" s="165"/>
      <c r="I11" s="165"/>
      <c r="J11" s="165"/>
      <c r="K11" s="165"/>
      <c r="L11" s="165"/>
      <c r="M11" s="165"/>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4" t="s">
        <v>68</v>
      </c>
      <c r="C12" s="164"/>
      <c r="D12" s="164"/>
      <c r="E12" s="45"/>
      <c r="F12" s="165" t="s">
        <v>12</v>
      </c>
      <c r="G12" s="165"/>
      <c r="H12" s="165"/>
      <c r="I12" s="165"/>
      <c r="J12" s="165"/>
      <c r="K12" s="165"/>
      <c r="L12" s="165"/>
      <c r="M12" s="165"/>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4" t="s">
        <v>73</v>
      </c>
      <c r="C13" s="164"/>
      <c r="D13" s="164"/>
      <c r="E13" s="45"/>
      <c r="F13" s="165" t="s">
        <v>74</v>
      </c>
      <c r="G13" s="165"/>
      <c r="H13" s="165"/>
      <c r="I13" s="165"/>
      <c r="J13" s="165"/>
      <c r="K13" s="165"/>
      <c r="L13" s="165"/>
      <c r="M13" s="165"/>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4" t="str">
        <f>IF(F12="Code","Total Artifact Size (KSLOC) :","Total Artifact Size (Pages) :")</f>
        <v>Total Artifact Size (KSLOC) :</v>
      </c>
      <c r="C14" s="164"/>
      <c r="D14" s="164"/>
      <c r="E14" s="45"/>
      <c r="F14" s="165">
        <v>30</v>
      </c>
      <c r="G14" s="165"/>
      <c r="H14" s="165"/>
      <c r="I14" s="165"/>
      <c r="J14" s="165"/>
      <c r="K14" s="165"/>
      <c r="L14" s="165"/>
      <c r="M14" s="165"/>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4" t="str">
        <f>IF(F12="Code","No. of Lines to be Reviewed (KSLOC) :","No. of Pages to be Reviewed (Pages) :")</f>
        <v>No. of Lines to be Reviewed (KSLOC) :</v>
      </c>
      <c r="C15" s="164"/>
      <c r="D15" s="164"/>
      <c r="E15" s="45"/>
      <c r="F15" s="165">
        <v>30</v>
      </c>
      <c r="G15" s="165"/>
      <c r="H15" s="165"/>
      <c r="I15" s="165"/>
      <c r="J15" s="165"/>
      <c r="K15" s="165"/>
      <c r="L15" s="165"/>
      <c r="M15" s="165"/>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4" t="s">
        <v>84</v>
      </c>
      <c r="C16" s="164"/>
      <c r="D16" s="164"/>
      <c r="E16" s="45"/>
      <c r="F16" s="165" t="s">
        <v>85</v>
      </c>
      <c r="G16" s="165"/>
      <c r="H16" s="165"/>
      <c r="I16" s="165"/>
      <c r="J16" s="165"/>
      <c r="K16" s="165"/>
      <c r="L16" s="165"/>
      <c r="M16" s="165"/>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4" t="s">
        <v>88</v>
      </c>
      <c r="C17" s="164"/>
      <c r="D17" s="164"/>
      <c r="E17" s="45"/>
      <c r="F17" s="168" t="s">
        <v>89</v>
      </c>
      <c r="G17" s="165"/>
      <c r="H17" s="165"/>
      <c r="I17" s="165"/>
      <c r="J17" s="165"/>
      <c r="K17" s="165"/>
      <c r="L17" s="165"/>
      <c r="M17" s="165"/>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4" t="s">
        <v>92</v>
      </c>
      <c r="C18" s="164"/>
      <c r="D18" s="164"/>
      <c r="E18" s="45"/>
      <c r="F18" s="169">
        <v>44144</v>
      </c>
      <c r="G18" s="169"/>
      <c r="H18" s="169"/>
      <c r="I18" s="169"/>
      <c r="J18" s="169"/>
      <c r="K18" s="169"/>
      <c r="L18" s="169"/>
      <c r="M18" s="169"/>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4" t="s">
        <v>95</v>
      </c>
      <c r="C19" s="164"/>
      <c r="D19" s="164"/>
      <c r="E19" s="45"/>
      <c r="F19" s="169">
        <v>44145</v>
      </c>
      <c r="G19" s="169"/>
      <c r="H19" s="169"/>
      <c r="I19" s="169"/>
      <c r="J19" s="169"/>
      <c r="K19" s="169"/>
      <c r="L19" s="169"/>
      <c r="M19" s="169"/>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4" t="s">
        <v>98</v>
      </c>
      <c r="C20" s="164"/>
      <c r="D20" s="164"/>
      <c r="E20" s="45"/>
      <c r="F20" s="165" t="s">
        <v>99</v>
      </c>
      <c r="G20" s="165"/>
      <c r="H20" s="165"/>
      <c r="I20" s="165"/>
      <c r="J20" s="165"/>
      <c r="K20" s="165"/>
      <c r="L20" s="165"/>
      <c r="M20" s="165"/>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4" t="s">
        <v>102</v>
      </c>
      <c r="C21" s="164"/>
      <c r="D21" s="164"/>
      <c r="E21" s="45"/>
      <c r="F21" s="165" t="s">
        <v>103</v>
      </c>
      <c r="G21" s="165"/>
      <c r="H21" s="165"/>
      <c r="I21" s="165"/>
      <c r="J21" s="165"/>
      <c r="K21" s="165"/>
      <c r="L21" s="165"/>
      <c r="M21" s="165"/>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4" t="s">
        <v>105</v>
      </c>
      <c r="C22" s="164"/>
      <c r="D22" s="164"/>
      <c r="E22" s="45"/>
      <c r="F22" s="170" t="s">
        <v>74</v>
      </c>
      <c r="G22" s="171"/>
      <c r="H22" s="171"/>
      <c r="I22" s="171"/>
      <c r="J22" s="171"/>
      <c r="K22" s="171"/>
      <c r="L22" s="171"/>
      <c r="M22" s="171"/>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4" t="s">
        <v>107</v>
      </c>
      <c r="C23" s="164"/>
      <c r="D23" s="164"/>
      <c r="E23" s="45"/>
      <c r="F23" s="169">
        <v>44145</v>
      </c>
      <c r="G23" s="169"/>
      <c r="H23" s="169"/>
      <c r="I23" s="169"/>
      <c r="J23" s="169"/>
      <c r="K23" s="169"/>
      <c r="L23" s="169"/>
      <c r="M23" s="169"/>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4" t="s">
        <v>109</v>
      </c>
      <c r="C24" s="164"/>
      <c r="D24" s="164"/>
      <c r="E24" s="45"/>
      <c r="F24" s="165" t="s">
        <v>110</v>
      </c>
      <c r="G24" s="165"/>
      <c r="H24" s="165"/>
      <c r="I24" s="165"/>
      <c r="J24" s="165"/>
      <c r="K24" s="165"/>
      <c r="L24" s="165"/>
      <c r="M24" s="165"/>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2" t="s">
        <v>114</v>
      </c>
      <c r="C26" s="172"/>
      <c r="D26" s="172"/>
      <c r="E26" s="172"/>
      <c r="F26" s="172"/>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3" t="s">
        <v>118</v>
      </c>
      <c r="C29" s="173"/>
      <c r="D29" s="173" t="s">
        <v>119</v>
      </c>
      <c r="E29" s="173"/>
      <c r="F29" s="173" t="s">
        <v>120</v>
      </c>
      <c r="G29" s="173"/>
      <c r="H29" s="174" t="s">
        <v>121</v>
      </c>
      <c r="I29" s="174"/>
      <c r="J29" s="133" t="s">
        <v>122</v>
      </c>
      <c r="K29" s="173" t="s">
        <v>123</v>
      </c>
      <c r="L29" s="173"/>
      <c r="M29" s="173"/>
      <c r="N29" s="173"/>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5" t="s">
        <v>40</v>
      </c>
      <c r="C30" s="176"/>
      <c r="D30" s="177" t="s">
        <v>126</v>
      </c>
      <c r="E30" s="177"/>
      <c r="F30" s="177" t="s">
        <v>127</v>
      </c>
      <c r="G30" s="177"/>
      <c r="H30" s="178" t="str">
        <f t="shared" ref="H30:H40" si="2">IF(J30="","",J30)</f>
        <v>SM</v>
      </c>
      <c r="I30" s="178"/>
      <c r="J30" s="137" t="s">
        <v>128</v>
      </c>
      <c r="K30" s="177" t="s">
        <v>129</v>
      </c>
      <c r="L30" s="177"/>
      <c r="M30" s="177"/>
      <c r="N30" s="177"/>
      <c r="O30" s="177"/>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1" t="s">
        <v>44</v>
      </c>
      <c r="C31" s="182"/>
      <c r="D31" s="179" t="s">
        <v>132</v>
      </c>
      <c r="E31" s="179"/>
      <c r="F31" s="179" t="s">
        <v>133</v>
      </c>
      <c r="G31" s="179"/>
      <c r="H31" s="180" t="str">
        <f t="shared" si="2"/>
        <v>HP</v>
      </c>
      <c r="I31" s="180"/>
      <c r="J31" s="87" t="s">
        <v>134</v>
      </c>
      <c r="K31" s="179" t="s">
        <v>129</v>
      </c>
      <c r="L31" s="179"/>
      <c r="M31" s="179"/>
      <c r="N31" s="179"/>
      <c r="O31" s="179"/>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1" t="s">
        <v>44</v>
      </c>
      <c r="C32" s="182"/>
      <c r="D32" s="179" t="s">
        <v>136</v>
      </c>
      <c r="E32" s="179"/>
      <c r="F32" s="179" t="s">
        <v>137</v>
      </c>
      <c r="G32" s="179"/>
      <c r="H32" s="180" t="str">
        <f>IF(J32="","",J32)</f>
        <v>AA</v>
      </c>
      <c r="I32" s="180"/>
      <c r="J32" s="87" t="s">
        <v>138</v>
      </c>
      <c r="K32" s="179" t="s">
        <v>129</v>
      </c>
      <c r="L32" s="179"/>
      <c r="M32" s="179"/>
      <c r="N32" s="179"/>
      <c r="O32" s="179"/>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1" t="s">
        <v>44</v>
      </c>
      <c r="C33" s="182"/>
      <c r="D33" s="179" t="s">
        <v>140</v>
      </c>
      <c r="E33" s="179"/>
      <c r="F33" s="179" t="s">
        <v>141</v>
      </c>
      <c r="G33" s="179"/>
      <c r="H33" s="180" t="str">
        <f>IF(J33="","",J33)</f>
        <v>TS</v>
      </c>
      <c r="I33" s="180"/>
      <c r="J33" s="87" t="s">
        <v>64</v>
      </c>
      <c r="K33" s="179" t="s">
        <v>129</v>
      </c>
      <c r="L33" s="179"/>
      <c r="M33" s="179"/>
      <c r="N33" s="179"/>
      <c r="O33" s="179"/>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1" t="s">
        <v>44</v>
      </c>
      <c r="C34" s="182"/>
      <c r="D34" s="179" t="s">
        <v>143</v>
      </c>
      <c r="E34" s="179"/>
      <c r="F34" s="179" t="s">
        <v>144</v>
      </c>
      <c r="G34" s="179"/>
      <c r="H34" s="180" t="str">
        <f t="shared" si="2"/>
        <v>SH</v>
      </c>
      <c r="I34" s="180"/>
      <c r="J34" s="87" t="s">
        <v>145</v>
      </c>
      <c r="K34" s="179" t="s">
        <v>129</v>
      </c>
      <c r="L34" s="179"/>
      <c r="M34" s="179"/>
      <c r="N34" s="179"/>
      <c r="O34" s="179"/>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1"/>
      <c r="C35" s="182"/>
      <c r="D35" s="179"/>
      <c r="E35" s="179"/>
      <c r="F35" s="179"/>
      <c r="G35" s="179"/>
      <c r="H35" s="180" t="str">
        <f t="shared" si="2"/>
        <v/>
      </c>
      <c r="I35" s="180"/>
      <c r="J35" s="87"/>
      <c r="K35" s="179"/>
      <c r="L35" s="179"/>
      <c r="M35" s="179"/>
      <c r="N35" s="179"/>
      <c r="O35" s="179"/>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1"/>
      <c r="C36" s="182"/>
      <c r="D36" s="179"/>
      <c r="E36" s="179"/>
      <c r="F36" s="179"/>
      <c r="G36" s="179"/>
      <c r="H36" s="180" t="str">
        <f t="shared" si="2"/>
        <v/>
      </c>
      <c r="I36" s="180"/>
      <c r="J36" s="87"/>
      <c r="K36" s="179"/>
      <c r="L36" s="179"/>
      <c r="M36" s="179"/>
      <c r="N36" s="179"/>
      <c r="O36" s="179"/>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1"/>
      <c r="C37" s="182"/>
      <c r="D37" s="179"/>
      <c r="E37" s="179"/>
      <c r="F37" s="179"/>
      <c r="G37" s="179"/>
      <c r="H37" s="180" t="str">
        <f t="shared" si="2"/>
        <v/>
      </c>
      <c r="I37" s="180"/>
      <c r="J37" s="87"/>
      <c r="K37" s="179"/>
      <c r="L37" s="179"/>
      <c r="M37" s="179"/>
      <c r="N37" s="179"/>
      <c r="O37" s="179"/>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1"/>
      <c r="C38" s="182"/>
      <c r="D38" s="179"/>
      <c r="E38" s="179"/>
      <c r="F38" s="179"/>
      <c r="G38" s="179"/>
      <c r="H38" s="180" t="str">
        <f t="shared" si="2"/>
        <v/>
      </c>
      <c r="I38" s="180"/>
      <c r="J38" s="87"/>
      <c r="K38" s="179"/>
      <c r="L38" s="179"/>
      <c r="M38" s="179"/>
      <c r="N38" s="179"/>
      <c r="O38" s="179"/>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1"/>
      <c r="C39" s="182"/>
      <c r="D39" s="179"/>
      <c r="E39" s="179"/>
      <c r="F39" s="179"/>
      <c r="G39" s="179"/>
      <c r="H39" s="180" t="str">
        <f t="shared" si="2"/>
        <v/>
      </c>
      <c r="I39" s="180"/>
      <c r="J39" s="87"/>
      <c r="K39" s="179"/>
      <c r="L39" s="179"/>
      <c r="M39" s="179"/>
      <c r="N39" s="179"/>
      <c r="O39" s="179"/>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1"/>
      <c r="C40" s="182"/>
      <c r="D40" s="179"/>
      <c r="E40" s="179"/>
      <c r="F40" s="179"/>
      <c r="G40" s="179"/>
      <c r="H40" s="180" t="str">
        <f t="shared" si="2"/>
        <v/>
      </c>
      <c r="I40" s="180"/>
      <c r="J40" s="87"/>
      <c r="K40" s="179"/>
      <c r="L40" s="179"/>
      <c r="M40" s="179"/>
      <c r="N40" s="179"/>
      <c r="O40" s="179"/>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1"/>
      <c r="C41" s="182"/>
      <c r="D41" s="179"/>
      <c r="E41" s="179"/>
      <c r="F41" s="179"/>
      <c r="G41" s="179"/>
      <c r="H41" s="180" t="str">
        <f t="shared" ref="H41:H59" si="13">IF(J41="","",J41)</f>
        <v/>
      </c>
      <c r="I41" s="180"/>
      <c r="J41" s="87"/>
      <c r="K41" s="179"/>
      <c r="L41" s="179"/>
      <c r="M41" s="179"/>
      <c r="N41" s="179"/>
      <c r="O41" s="179"/>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1"/>
      <c r="C42" s="182"/>
      <c r="D42" s="179"/>
      <c r="E42" s="179"/>
      <c r="F42" s="179"/>
      <c r="G42" s="179"/>
      <c r="H42" s="180" t="str">
        <f t="shared" si="13"/>
        <v/>
      </c>
      <c r="I42" s="180"/>
      <c r="J42" s="87"/>
      <c r="K42" s="179"/>
      <c r="L42" s="179"/>
      <c r="M42" s="179"/>
      <c r="N42" s="179"/>
      <c r="O42" s="179"/>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1"/>
      <c r="C43" s="182"/>
      <c r="D43" s="179"/>
      <c r="E43" s="179"/>
      <c r="F43" s="179"/>
      <c r="G43" s="179"/>
      <c r="H43" s="180" t="str">
        <f t="shared" si="13"/>
        <v/>
      </c>
      <c r="I43" s="180"/>
      <c r="J43" s="87"/>
      <c r="K43" s="179"/>
      <c r="L43" s="179"/>
      <c r="M43" s="179"/>
      <c r="N43" s="179"/>
      <c r="O43" s="179"/>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1"/>
      <c r="C44" s="182"/>
      <c r="D44" s="179"/>
      <c r="E44" s="179"/>
      <c r="F44" s="179"/>
      <c r="G44" s="179"/>
      <c r="H44" s="180" t="str">
        <f t="shared" si="13"/>
        <v/>
      </c>
      <c r="I44" s="180"/>
      <c r="J44" s="87"/>
      <c r="K44" s="179"/>
      <c r="L44" s="179"/>
      <c r="M44" s="179"/>
      <c r="N44" s="179"/>
      <c r="O44" s="179"/>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1"/>
      <c r="C45" s="182"/>
      <c r="D45" s="179"/>
      <c r="E45" s="179"/>
      <c r="F45" s="179"/>
      <c r="G45" s="179"/>
      <c r="H45" s="180" t="str">
        <f t="shared" si="13"/>
        <v/>
      </c>
      <c r="I45" s="180"/>
      <c r="J45" s="87"/>
      <c r="K45" s="179"/>
      <c r="L45" s="179"/>
      <c r="M45" s="179"/>
      <c r="N45" s="179"/>
      <c r="O45" s="179"/>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1"/>
      <c r="C46" s="182"/>
      <c r="D46" s="179"/>
      <c r="E46" s="179"/>
      <c r="F46" s="179"/>
      <c r="G46" s="179"/>
      <c r="H46" s="180" t="str">
        <f t="shared" si="13"/>
        <v/>
      </c>
      <c r="I46" s="180"/>
      <c r="J46" s="87"/>
      <c r="K46" s="179"/>
      <c r="L46" s="179"/>
      <c r="M46" s="179"/>
      <c r="N46" s="179"/>
      <c r="O46" s="179"/>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1"/>
      <c r="C47" s="182"/>
      <c r="D47" s="179"/>
      <c r="E47" s="179"/>
      <c r="F47" s="179"/>
      <c r="G47" s="179"/>
      <c r="H47" s="180" t="str">
        <f t="shared" si="13"/>
        <v/>
      </c>
      <c r="I47" s="180"/>
      <c r="J47" s="87"/>
      <c r="K47" s="179"/>
      <c r="L47" s="179"/>
      <c r="M47" s="179"/>
      <c r="N47" s="179"/>
      <c r="O47" s="179"/>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1"/>
      <c r="C48" s="182"/>
      <c r="D48" s="179"/>
      <c r="E48" s="179"/>
      <c r="F48" s="179"/>
      <c r="G48" s="179"/>
      <c r="H48" s="180" t="str">
        <f t="shared" si="13"/>
        <v/>
      </c>
      <c r="I48" s="180"/>
      <c r="J48" s="87"/>
      <c r="K48" s="179"/>
      <c r="L48" s="179"/>
      <c r="M48" s="179"/>
      <c r="N48" s="179"/>
      <c r="O48" s="179"/>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1"/>
      <c r="C49" s="182"/>
      <c r="D49" s="179"/>
      <c r="E49" s="179"/>
      <c r="F49" s="179"/>
      <c r="G49" s="179"/>
      <c r="H49" s="180" t="str">
        <f t="shared" si="13"/>
        <v/>
      </c>
      <c r="I49" s="180"/>
      <c r="J49" s="87"/>
      <c r="K49" s="179"/>
      <c r="L49" s="179"/>
      <c r="M49" s="179"/>
      <c r="N49" s="179"/>
      <c r="O49" s="179"/>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1"/>
      <c r="C50" s="182"/>
      <c r="D50" s="179"/>
      <c r="E50" s="179"/>
      <c r="F50" s="179"/>
      <c r="G50" s="179"/>
      <c r="H50" s="180" t="str">
        <f t="shared" si="13"/>
        <v/>
      </c>
      <c r="I50" s="180"/>
      <c r="J50" s="87"/>
      <c r="K50" s="179"/>
      <c r="L50" s="179"/>
      <c r="M50" s="179"/>
      <c r="N50" s="179"/>
      <c r="O50" s="179"/>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1"/>
      <c r="C51" s="182"/>
      <c r="D51" s="179"/>
      <c r="E51" s="179"/>
      <c r="F51" s="179"/>
      <c r="G51" s="179"/>
      <c r="H51" s="180" t="str">
        <f t="shared" si="13"/>
        <v/>
      </c>
      <c r="I51" s="180"/>
      <c r="J51" s="87"/>
      <c r="K51" s="179"/>
      <c r="L51" s="179"/>
      <c r="M51" s="179"/>
      <c r="N51" s="179"/>
      <c r="O51" s="179"/>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1"/>
      <c r="C52" s="182"/>
      <c r="D52" s="179"/>
      <c r="E52" s="179"/>
      <c r="F52" s="179"/>
      <c r="G52" s="179"/>
      <c r="H52" s="180" t="str">
        <f t="shared" si="13"/>
        <v/>
      </c>
      <c r="I52" s="180"/>
      <c r="J52" s="87"/>
      <c r="K52" s="179"/>
      <c r="L52" s="179"/>
      <c r="M52" s="179"/>
      <c r="N52" s="179"/>
      <c r="O52" s="179"/>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1"/>
      <c r="C53" s="182"/>
      <c r="D53" s="179"/>
      <c r="E53" s="179"/>
      <c r="F53" s="179"/>
      <c r="G53" s="179"/>
      <c r="H53" s="180" t="str">
        <f t="shared" si="13"/>
        <v/>
      </c>
      <c r="I53" s="180"/>
      <c r="J53" s="87"/>
      <c r="K53" s="179"/>
      <c r="L53" s="179"/>
      <c r="M53" s="179"/>
      <c r="N53" s="179"/>
      <c r="O53" s="179"/>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1"/>
      <c r="C54" s="182"/>
      <c r="D54" s="179"/>
      <c r="E54" s="179"/>
      <c r="F54" s="179"/>
      <c r="G54" s="179"/>
      <c r="H54" s="180" t="str">
        <f t="shared" si="13"/>
        <v/>
      </c>
      <c r="I54" s="180"/>
      <c r="J54" s="87"/>
      <c r="K54" s="179"/>
      <c r="L54" s="179"/>
      <c r="M54" s="179"/>
      <c r="N54" s="179"/>
      <c r="O54" s="179"/>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1"/>
      <c r="C55" s="182"/>
      <c r="D55" s="179"/>
      <c r="E55" s="179"/>
      <c r="F55" s="179"/>
      <c r="G55" s="179"/>
      <c r="H55" s="180" t="str">
        <f t="shared" si="13"/>
        <v/>
      </c>
      <c r="I55" s="180"/>
      <c r="J55" s="87"/>
      <c r="K55" s="179"/>
      <c r="L55" s="179"/>
      <c r="M55" s="179"/>
      <c r="N55" s="179"/>
      <c r="O55" s="179"/>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1"/>
      <c r="C56" s="182"/>
      <c r="D56" s="179"/>
      <c r="E56" s="179"/>
      <c r="F56" s="179"/>
      <c r="G56" s="179"/>
      <c r="H56" s="180" t="str">
        <f t="shared" si="13"/>
        <v/>
      </c>
      <c r="I56" s="180"/>
      <c r="J56" s="87"/>
      <c r="K56" s="179"/>
      <c r="L56" s="179"/>
      <c r="M56" s="179"/>
      <c r="N56" s="179"/>
      <c r="O56" s="179"/>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1"/>
      <c r="C57" s="182"/>
      <c r="D57" s="179"/>
      <c r="E57" s="179"/>
      <c r="F57" s="179"/>
      <c r="G57" s="179"/>
      <c r="H57" s="180" t="str">
        <f t="shared" si="13"/>
        <v/>
      </c>
      <c r="I57" s="180"/>
      <c r="J57" s="87"/>
      <c r="K57" s="179"/>
      <c r="L57" s="179"/>
      <c r="M57" s="179"/>
      <c r="N57" s="179"/>
      <c r="O57" s="179"/>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1"/>
      <c r="C58" s="182"/>
      <c r="D58" s="179"/>
      <c r="E58" s="179"/>
      <c r="F58" s="179"/>
      <c r="G58" s="179"/>
      <c r="H58" s="180" t="str">
        <f t="shared" si="13"/>
        <v/>
      </c>
      <c r="I58" s="180"/>
      <c r="J58" s="87"/>
      <c r="K58" s="179"/>
      <c r="L58" s="179"/>
      <c r="M58" s="179"/>
      <c r="N58" s="179"/>
      <c r="O58" s="179"/>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1"/>
      <c r="C59" s="182"/>
      <c r="D59" s="179"/>
      <c r="E59" s="179"/>
      <c r="F59" s="179"/>
      <c r="G59" s="179"/>
      <c r="H59" s="180" t="str">
        <f t="shared" si="13"/>
        <v/>
      </c>
      <c r="I59" s="180"/>
      <c r="J59" s="87"/>
      <c r="K59" s="179"/>
      <c r="L59" s="179"/>
      <c r="M59" s="179"/>
      <c r="N59" s="179"/>
      <c r="O59" s="179"/>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1"/>
      <c r="C60" s="182"/>
      <c r="D60" s="179"/>
      <c r="E60" s="179"/>
      <c r="F60" s="179"/>
      <c r="G60" s="179"/>
      <c r="H60" s="180" t="str">
        <f t="shared" ref="H60:H123" si="14">IF(J60="","",J60)</f>
        <v/>
      </c>
      <c r="I60" s="180"/>
      <c r="J60" s="87"/>
      <c r="K60" s="179"/>
      <c r="L60" s="179"/>
      <c r="M60" s="179"/>
      <c r="N60" s="179"/>
      <c r="O60" s="179"/>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1"/>
      <c r="C61" s="182"/>
      <c r="D61" s="179"/>
      <c r="E61" s="179"/>
      <c r="F61" s="179"/>
      <c r="G61" s="179"/>
      <c r="H61" s="180" t="str">
        <f t="shared" si="14"/>
        <v/>
      </c>
      <c r="I61" s="180"/>
      <c r="J61" s="87"/>
      <c r="K61" s="179"/>
      <c r="L61" s="179"/>
      <c r="M61" s="179"/>
      <c r="N61" s="179"/>
      <c r="O61" s="179"/>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1"/>
      <c r="C62" s="182"/>
      <c r="D62" s="179"/>
      <c r="E62" s="179"/>
      <c r="F62" s="179"/>
      <c r="G62" s="179"/>
      <c r="H62" s="180" t="str">
        <f t="shared" si="14"/>
        <v/>
      </c>
      <c r="I62" s="180"/>
      <c r="J62" s="87"/>
      <c r="K62" s="179"/>
      <c r="L62" s="179"/>
      <c r="M62" s="179"/>
      <c r="N62" s="179"/>
      <c r="O62" s="179"/>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1"/>
      <c r="C63" s="182"/>
      <c r="D63" s="179"/>
      <c r="E63" s="179"/>
      <c r="F63" s="179"/>
      <c r="G63" s="179"/>
      <c r="H63" s="180" t="str">
        <f t="shared" si="14"/>
        <v/>
      </c>
      <c r="I63" s="180"/>
      <c r="J63" s="87"/>
      <c r="K63" s="179"/>
      <c r="L63" s="179"/>
      <c r="M63" s="179"/>
      <c r="N63" s="179"/>
      <c r="O63" s="179"/>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1"/>
      <c r="C64" s="182"/>
      <c r="D64" s="179"/>
      <c r="E64" s="179"/>
      <c r="F64" s="179"/>
      <c r="G64" s="179"/>
      <c r="H64" s="180" t="str">
        <f t="shared" si="14"/>
        <v/>
      </c>
      <c r="I64" s="180"/>
      <c r="J64" s="87"/>
      <c r="K64" s="179"/>
      <c r="L64" s="179"/>
      <c r="M64" s="179"/>
      <c r="N64" s="179"/>
      <c r="O64" s="179"/>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1"/>
      <c r="C65" s="182"/>
      <c r="D65" s="179"/>
      <c r="E65" s="179"/>
      <c r="F65" s="179"/>
      <c r="G65" s="179"/>
      <c r="H65" s="180" t="str">
        <f t="shared" si="14"/>
        <v/>
      </c>
      <c r="I65" s="180"/>
      <c r="J65" s="87"/>
      <c r="K65" s="179"/>
      <c r="L65" s="179"/>
      <c r="M65" s="179"/>
      <c r="N65" s="179"/>
      <c r="O65" s="179"/>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1"/>
      <c r="C66" s="182"/>
      <c r="D66" s="179"/>
      <c r="E66" s="179"/>
      <c r="F66" s="179"/>
      <c r="G66" s="179"/>
      <c r="H66" s="180" t="str">
        <f t="shared" si="14"/>
        <v/>
      </c>
      <c r="I66" s="180"/>
      <c r="J66" s="87"/>
      <c r="K66" s="179"/>
      <c r="L66" s="179"/>
      <c r="M66" s="179"/>
      <c r="N66" s="179"/>
      <c r="O66" s="179"/>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1"/>
      <c r="C67" s="182"/>
      <c r="D67" s="179"/>
      <c r="E67" s="179"/>
      <c r="F67" s="179"/>
      <c r="G67" s="179"/>
      <c r="H67" s="180" t="str">
        <f t="shared" si="14"/>
        <v/>
      </c>
      <c r="I67" s="180"/>
      <c r="J67" s="87"/>
      <c r="K67" s="179"/>
      <c r="L67" s="179"/>
      <c r="M67" s="179"/>
      <c r="N67" s="179"/>
      <c r="O67" s="179"/>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1"/>
      <c r="C68" s="182"/>
      <c r="D68" s="179"/>
      <c r="E68" s="179"/>
      <c r="F68" s="179"/>
      <c r="G68" s="179"/>
      <c r="H68" s="180" t="str">
        <f t="shared" si="14"/>
        <v/>
      </c>
      <c r="I68" s="180"/>
      <c r="J68" s="87"/>
      <c r="K68" s="179"/>
      <c r="L68" s="179"/>
      <c r="M68" s="179"/>
      <c r="N68" s="179"/>
      <c r="O68" s="179"/>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1"/>
      <c r="C69" s="182"/>
      <c r="D69" s="179"/>
      <c r="E69" s="179"/>
      <c r="F69" s="179"/>
      <c r="G69" s="179"/>
      <c r="H69" s="180" t="str">
        <f t="shared" si="14"/>
        <v/>
      </c>
      <c r="I69" s="180"/>
      <c r="J69" s="87"/>
      <c r="K69" s="179"/>
      <c r="L69" s="179"/>
      <c r="M69" s="179"/>
      <c r="N69" s="179"/>
      <c r="O69" s="179"/>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1"/>
      <c r="C70" s="182"/>
      <c r="D70" s="179"/>
      <c r="E70" s="179"/>
      <c r="F70" s="179"/>
      <c r="G70" s="179"/>
      <c r="H70" s="180" t="str">
        <f t="shared" si="14"/>
        <v/>
      </c>
      <c r="I70" s="180"/>
      <c r="J70" s="87"/>
      <c r="K70" s="179"/>
      <c r="L70" s="179"/>
      <c r="M70" s="179"/>
      <c r="N70" s="179"/>
      <c r="O70" s="179"/>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1"/>
      <c r="C71" s="182"/>
      <c r="D71" s="179"/>
      <c r="E71" s="179"/>
      <c r="F71" s="179"/>
      <c r="G71" s="179"/>
      <c r="H71" s="180" t="str">
        <f t="shared" si="14"/>
        <v/>
      </c>
      <c r="I71" s="180"/>
      <c r="J71" s="87"/>
      <c r="K71" s="179"/>
      <c r="L71" s="179"/>
      <c r="M71" s="179"/>
      <c r="N71" s="179"/>
      <c r="O71" s="179"/>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1"/>
      <c r="C72" s="182"/>
      <c r="D72" s="179"/>
      <c r="E72" s="179"/>
      <c r="F72" s="179"/>
      <c r="G72" s="179"/>
      <c r="H72" s="180" t="str">
        <f t="shared" si="14"/>
        <v/>
      </c>
      <c r="I72" s="180"/>
      <c r="J72" s="87"/>
      <c r="K72" s="179"/>
      <c r="L72" s="179"/>
      <c r="M72" s="179"/>
      <c r="N72" s="179"/>
      <c r="O72" s="179"/>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1"/>
      <c r="C73" s="182"/>
      <c r="D73" s="179"/>
      <c r="E73" s="179"/>
      <c r="F73" s="179"/>
      <c r="G73" s="179"/>
      <c r="H73" s="180" t="str">
        <f t="shared" si="14"/>
        <v/>
      </c>
      <c r="I73" s="180"/>
      <c r="J73" s="87"/>
      <c r="K73" s="179"/>
      <c r="L73" s="179"/>
      <c r="M73" s="179"/>
      <c r="N73" s="179"/>
      <c r="O73" s="179"/>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1"/>
      <c r="C74" s="182"/>
      <c r="D74" s="179"/>
      <c r="E74" s="179"/>
      <c r="F74" s="179"/>
      <c r="G74" s="179"/>
      <c r="H74" s="180" t="str">
        <f t="shared" si="14"/>
        <v/>
      </c>
      <c r="I74" s="180"/>
      <c r="J74" s="87"/>
      <c r="K74" s="179"/>
      <c r="L74" s="179"/>
      <c r="M74" s="179"/>
      <c r="N74" s="179"/>
      <c r="O74" s="179"/>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1"/>
      <c r="C75" s="182"/>
      <c r="D75" s="179"/>
      <c r="E75" s="179"/>
      <c r="F75" s="179"/>
      <c r="G75" s="179"/>
      <c r="H75" s="180" t="str">
        <f t="shared" si="14"/>
        <v/>
      </c>
      <c r="I75" s="180"/>
      <c r="J75" s="87"/>
      <c r="K75" s="179"/>
      <c r="L75" s="179"/>
      <c r="M75" s="179"/>
      <c r="N75" s="179"/>
      <c r="O75" s="179"/>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1"/>
      <c r="C76" s="182"/>
      <c r="D76" s="179"/>
      <c r="E76" s="179"/>
      <c r="F76" s="179"/>
      <c r="G76" s="179"/>
      <c r="H76" s="180" t="str">
        <f t="shared" si="14"/>
        <v/>
      </c>
      <c r="I76" s="180"/>
      <c r="J76" s="87"/>
      <c r="K76" s="179"/>
      <c r="L76" s="179"/>
      <c r="M76" s="179"/>
      <c r="N76" s="179"/>
      <c r="O76" s="179"/>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1"/>
      <c r="C77" s="182"/>
      <c r="D77" s="179"/>
      <c r="E77" s="179"/>
      <c r="F77" s="179"/>
      <c r="G77" s="179"/>
      <c r="H77" s="180" t="str">
        <f t="shared" si="14"/>
        <v/>
      </c>
      <c r="I77" s="180"/>
      <c r="J77" s="87"/>
      <c r="K77" s="179"/>
      <c r="L77" s="179"/>
      <c r="M77" s="179"/>
      <c r="N77" s="179"/>
      <c r="O77" s="179"/>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1"/>
      <c r="C78" s="182"/>
      <c r="D78" s="179"/>
      <c r="E78" s="179"/>
      <c r="F78" s="179"/>
      <c r="G78" s="179"/>
      <c r="H78" s="180" t="str">
        <f t="shared" si="14"/>
        <v/>
      </c>
      <c r="I78" s="180"/>
      <c r="J78" s="87"/>
      <c r="K78" s="179"/>
      <c r="L78" s="179"/>
      <c r="M78" s="179"/>
      <c r="N78" s="179"/>
      <c r="O78" s="179"/>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1"/>
      <c r="C79" s="182"/>
      <c r="D79" s="179"/>
      <c r="E79" s="179"/>
      <c r="F79" s="179"/>
      <c r="G79" s="179"/>
      <c r="H79" s="180" t="str">
        <f t="shared" si="14"/>
        <v/>
      </c>
      <c r="I79" s="180"/>
      <c r="J79" s="87"/>
      <c r="K79" s="179"/>
      <c r="L79" s="179"/>
      <c r="M79" s="179"/>
      <c r="N79" s="179"/>
      <c r="O79" s="179"/>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1"/>
      <c r="C80" s="182"/>
      <c r="D80" s="179"/>
      <c r="E80" s="179"/>
      <c r="F80" s="179"/>
      <c r="G80" s="179"/>
      <c r="H80" s="180" t="str">
        <f t="shared" si="14"/>
        <v/>
      </c>
      <c r="I80" s="180"/>
      <c r="J80" s="87"/>
      <c r="K80" s="179"/>
      <c r="L80" s="179"/>
      <c r="M80" s="179"/>
      <c r="N80" s="179"/>
      <c r="O80" s="179"/>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1"/>
      <c r="C81" s="182"/>
      <c r="D81" s="179"/>
      <c r="E81" s="179"/>
      <c r="F81" s="179"/>
      <c r="G81" s="179"/>
      <c r="H81" s="180" t="str">
        <f t="shared" si="14"/>
        <v/>
      </c>
      <c r="I81" s="180"/>
      <c r="J81" s="87"/>
      <c r="K81" s="179"/>
      <c r="L81" s="179"/>
      <c r="M81" s="179"/>
      <c r="N81" s="179"/>
      <c r="O81" s="179"/>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1"/>
      <c r="C82" s="182"/>
      <c r="D82" s="179"/>
      <c r="E82" s="179"/>
      <c r="F82" s="179"/>
      <c r="G82" s="179"/>
      <c r="H82" s="180" t="str">
        <f t="shared" si="14"/>
        <v/>
      </c>
      <c r="I82" s="180"/>
      <c r="J82" s="87"/>
      <c r="K82" s="179"/>
      <c r="L82" s="179"/>
      <c r="M82" s="179"/>
      <c r="N82" s="179"/>
      <c r="O82" s="179"/>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1"/>
      <c r="C83" s="182"/>
      <c r="D83" s="179"/>
      <c r="E83" s="179"/>
      <c r="F83" s="179"/>
      <c r="G83" s="179"/>
      <c r="H83" s="180" t="str">
        <f t="shared" si="14"/>
        <v/>
      </c>
      <c r="I83" s="180"/>
      <c r="J83" s="87"/>
      <c r="K83" s="179"/>
      <c r="L83" s="179"/>
      <c r="M83" s="179"/>
      <c r="N83" s="179"/>
      <c r="O83" s="179"/>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1"/>
      <c r="C84" s="182"/>
      <c r="D84" s="179"/>
      <c r="E84" s="179"/>
      <c r="F84" s="179"/>
      <c r="G84" s="179"/>
      <c r="H84" s="180" t="str">
        <f t="shared" si="14"/>
        <v/>
      </c>
      <c r="I84" s="180"/>
      <c r="J84" s="87"/>
      <c r="K84" s="179"/>
      <c r="L84" s="179"/>
      <c r="M84" s="179"/>
      <c r="N84" s="179"/>
      <c r="O84" s="179"/>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1"/>
      <c r="C85" s="182"/>
      <c r="D85" s="179"/>
      <c r="E85" s="179"/>
      <c r="F85" s="179"/>
      <c r="G85" s="179"/>
      <c r="H85" s="180" t="str">
        <f t="shared" si="14"/>
        <v/>
      </c>
      <c r="I85" s="180"/>
      <c r="J85" s="87"/>
      <c r="K85" s="179"/>
      <c r="L85" s="179"/>
      <c r="M85" s="179"/>
      <c r="N85" s="179"/>
      <c r="O85" s="179"/>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1"/>
      <c r="C86" s="182"/>
      <c r="D86" s="179"/>
      <c r="E86" s="179"/>
      <c r="F86" s="179"/>
      <c r="G86" s="179"/>
      <c r="H86" s="180" t="str">
        <f t="shared" si="14"/>
        <v/>
      </c>
      <c r="I86" s="180"/>
      <c r="J86" s="87"/>
      <c r="K86" s="179"/>
      <c r="L86" s="179"/>
      <c r="M86" s="179"/>
      <c r="N86" s="179"/>
      <c r="O86" s="179"/>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1"/>
      <c r="C87" s="182"/>
      <c r="D87" s="179"/>
      <c r="E87" s="179"/>
      <c r="F87" s="179"/>
      <c r="G87" s="179"/>
      <c r="H87" s="180" t="str">
        <f t="shared" si="14"/>
        <v/>
      </c>
      <c r="I87" s="180"/>
      <c r="J87" s="87"/>
      <c r="K87" s="179"/>
      <c r="L87" s="179"/>
      <c r="M87" s="179"/>
      <c r="N87" s="179"/>
      <c r="O87" s="179"/>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1"/>
      <c r="C88" s="182"/>
      <c r="D88" s="179"/>
      <c r="E88" s="179"/>
      <c r="F88" s="179"/>
      <c r="G88" s="179"/>
      <c r="H88" s="180" t="str">
        <f t="shared" si="14"/>
        <v/>
      </c>
      <c r="I88" s="180"/>
      <c r="J88" s="87"/>
      <c r="K88" s="179"/>
      <c r="L88" s="179"/>
      <c r="M88" s="179"/>
      <c r="N88" s="179"/>
      <c r="O88" s="179"/>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1"/>
      <c r="C89" s="182"/>
      <c r="D89" s="179"/>
      <c r="E89" s="179"/>
      <c r="F89" s="179"/>
      <c r="G89" s="179"/>
      <c r="H89" s="180" t="str">
        <f t="shared" si="14"/>
        <v/>
      </c>
      <c r="I89" s="180"/>
      <c r="J89" s="87"/>
      <c r="K89" s="179"/>
      <c r="L89" s="179"/>
      <c r="M89" s="179"/>
      <c r="N89" s="179"/>
      <c r="O89" s="179"/>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1"/>
      <c r="C90" s="182"/>
      <c r="D90" s="179"/>
      <c r="E90" s="179"/>
      <c r="F90" s="179"/>
      <c r="G90" s="179"/>
      <c r="H90" s="180" t="str">
        <f t="shared" si="14"/>
        <v/>
      </c>
      <c r="I90" s="180"/>
      <c r="J90" s="87"/>
      <c r="K90" s="179"/>
      <c r="L90" s="179"/>
      <c r="M90" s="179"/>
      <c r="N90" s="179"/>
      <c r="O90" s="179"/>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1"/>
      <c r="C91" s="182"/>
      <c r="D91" s="179"/>
      <c r="E91" s="179"/>
      <c r="F91" s="179"/>
      <c r="G91" s="179"/>
      <c r="H91" s="180" t="str">
        <f t="shared" si="14"/>
        <v/>
      </c>
      <c r="I91" s="180"/>
      <c r="J91" s="87"/>
      <c r="K91" s="179"/>
      <c r="L91" s="179"/>
      <c r="M91" s="179"/>
      <c r="N91" s="179"/>
      <c r="O91" s="179"/>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1"/>
      <c r="C92" s="182"/>
      <c r="D92" s="179"/>
      <c r="E92" s="179"/>
      <c r="F92" s="179"/>
      <c r="G92" s="179"/>
      <c r="H92" s="180" t="str">
        <f t="shared" si="14"/>
        <v/>
      </c>
      <c r="I92" s="180"/>
      <c r="J92" s="87"/>
      <c r="K92" s="179"/>
      <c r="L92" s="179"/>
      <c r="M92" s="179"/>
      <c r="N92" s="179"/>
      <c r="O92" s="179"/>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1"/>
      <c r="C93" s="182"/>
      <c r="D93" s="179"/>
      <c r="E93" s="179"/>
      <c r="F93" s="179"/>
      <c r="G93" s="179"/>
      <c r="H93" s="180" t="str">
        <f t="shared" si="14"/>
        <v/>
      </c>
      <c r="I93" s="180"/>
      <c r="J93" s="87"/>
      <c r="K93" s="179"/>
      <c r="L93" s="179"/>
      <c r="M93" s="179"/>
      <c r="N93" s="179"/>
      <c r="O93" s="179"/>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1"/>
      <c r="C94" s="182"/>
      <c r="D94" s="179"/>
      <c r="E94" s="179"/>
      <c r="F94" s="179"/>
      <c r="G94" s="179"/>
      <c r="H94" s="180" t="str">
        <f t="shared" si="14"/>
        <v/>
      </c>
      <c r="I94" s="180"/>
      <c r="J94" s="87"/>
      <c r="K94" s="179"/>
      <c r="L94" s="179"/>
      <c r="M94" s="179"/>
      <c r="N94" s="179"/>
      <c r="O94" s="179"/>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1"/>
      <c r="C95" s="182"/>
      <c r="D95" s="179"/>
      <c r="E95" s="179"/>
      <c r="F95" s="179"/>
      <c r="G95" s="179"/>
      <c r="H95" s="180" t="str">
        <f t="shared" si="14"/>
        <v/>
      </c>
      <c r="I95" s="180"/>
      <c r="J95" s="87"/>
      <c r="K95" s="179"/>
      <c r="L95" s="179"/>
      <c r="M95" s="179"/>
      <c r="N95" s="179"/>
      <c r="O95" s="179"/>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1"/>
      <c r="C96" s="182"/>
      <c r="D96" s="179"/>
      <c r="E96" s="179"/>
      <c r="F96" s="179"/>
      <c r="G96" s="179"/>
      <c r="H96" s="180" t="str">
        <f t="shared" si="14"/>
        <v/>
      </c>
      <c r="I96" s="180"/>
      <c r="J96" s="87"/>
      <c r="K96" s="179"/>
      <c r="L96" s="179"/>
      <c r="M96" s="179"/>
      <c r="N96" s="179"/>
      <c r="O96" s="179"/>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1"/>
      <c r="C97" s="182"/>
      <c r="D97" s="179"/>
      <c r="E97" s="179"/>
      <c r="F97" s="179"/>
      <c r="G97" s="179"/>
      <c r="H97" s="180" t="str">
        <f t="shared" si="14"/>
        <v/>
      </c>
      <c r="I97" s="180"/>
      <c r="J97" s="87"/>
      <c r="K97" s="179"/>
      <c r="L97" s="179"/>
      <c r="M97" s="179"/>
      <c r="N97" s="179"/>
      <c r="O97" s="179"/>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1"/>
      <c r="C98" s="182"/>
      <c r="D98" s="179"/>
      <c r="E98" s="179"/>
      <c r="F98" s="179"/>
      <c r="G98" s="179"/>
      <c r="H98" s="180" t="str">
        <f t="shared" si="14"/>
        <v/>
      </c>
      <c r="I98" s="180"/>
      <c r="J98" s="87"/>
      <c r="K98" s="179"/>
      <c r="L98" s="179"/>
      <c r="M98" s="179"/>
      <c r="N98" s="179"/>
      <c r="O98" s="179"/>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1"/>
      <c r="C99" s="182"/>
      <c r="D99" s="179"/>
      <c r="E99" s="179"/>
      <c r="F99" s="179"/>
      <c r="G99" s="179"/>
      <c r="H99" s="180" t="str">
        <f t="shared" si="14"/>
        <v/>
      </c>
      <c r="I99" s="180"/>
      <c r="J99" s="87"/>
      <c r="K99" s="179"/>
      <c r="L99" s="179"/>
      <c r="M99" s="179"/>
      <c r="N99" s="179"/>
      <c r="O99" s="179"/>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1"/>
      <c r="C100" s="182"/>
      <c r="D100" s="179"/>
      <c r="E100" s="179"/>
      <c r="F100" s="179"/>
      <c r="G100" s="179"/>
      <c r="H100" s="180" t="str">
        <f t="shared" si="14"/>
        <v/>
      </c>
      <c r="I100" s="180"/>
      <c r="J100" s="87"/>
      <c r="K100" s="179"/>
      <c r="L100" s="179"/>
      <c r="M100" s="179"/>
      <c r="N100" s="179"/>
      <c r="O100" s="179"/>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1"/>
      <c r="C101" s="182"/>
      <c r="D101" s="179"/>
      <c r="E101" s="179"/>
      <c r="F101" s="179"/>
      <c r="G101" s="179"/>
      <c r="H101" s="180" t="str">
        <f t="shared" si="14"/>
        <v/>
      </c>
      <c r="I101" s="180"/>
      <c r="J101" s="87"/>
      <c r="K101" s="179"/>
      <c r="L101" s="179"/>
      <c r="M101" s="179"/>
      <c r="N101" s="179"/>
      <c r="O101" s="179"/>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1"/>
      <c r="C102" s="182"/>
      <c r="D102" s="179"/>
      <c r="E102" s="179"/>
      <c r="F102" s="179"/>
      <c r="G102" s="179"/>
      <c r="H102" s="180" t="str">
        <f t="shared" si="14"/>
        <v/>
      </c>
      <c r="I102" s="180"/>
      <c r="J102" s="87"/>
      <c r="K102" s="179"/>
      <c r="L102" s="179"/>
      <c r="M102" s="179"/>
      <c r="N102" s="179"/>
      <c r="O102" s="179"/>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1"/>
      <c r="C103" s="182"/>
      <c r="D103" s="179"/>
      <c r="E103" s="179"/>
      <c r="F103" s="179"/>
      <c r="G103" s="179"/>
      <c r="H103" s="180" t="str">
        <f t="shared" si="14"/>
        <v/>
      </c>
      <c r="I103" s="180"/>
      <c r="J103" s="87"/>
      <c r="K103" s="179"/>
      <c r="L103" s="179"/>
      <c r="M103" s="179"/>
      <c r="N103" s="179"/>
      <c r="O103" s="179"/>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1"/>
      <c r="C104" s="182"/>
      <c r="D104" s="179"/>
      <c r="E104" s="179"/>
      <c r="F104" s="179"/>
      <c r="G104" s="179"/>
      <c r="H104" s="180" t="str">
        <f t="shared" si="14"/>
        <v/>
      </c>
      <c r="I104" s="180"/>
      <c r="J104" s="87"/>
      <c r="K104" s="179"/>
      <c r="L104" s="179"/>
      <c r="M104" s="179"/>
      <c r="N104" s="179"/>
      <c r="O104" s="179"/>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1"/>
      <c r="C105" s="182"/>
      <c r="D105" s="179"/>
      <c r="E105" s="179"/>
      <c r="F105" s="179"/>
      <c r="G105" s="179"/>
      <c r="H105" s="180" t="str">
        <f t="shared" si="14"/>
        <v/>
      </c>
      <c r="I105" s="180"/>
      <c r="J105" s="87"/>
      <c r="K105" s="179"/>
      <c r="L105" s="179"/>
      <c r="M105" s="179"/>
      <c r="N105" s="179"/>
      <c r="O105" s="179"/>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1"/>
      <c r="C106" s="182"/>
      <c r="D106" s="179"/>
      <c r="E106" s="179"/>
      <c r="F106" s="179"/>
      <c r="G106" s="179"/>
      <c r="H106" s="180" t="str">
        <f t="shared" si="14"/>
        <v/>
      </c>
      <c r="I106" s="180"/>
      <c r="J106" s="87"/>
      <c r="K106" s="179"/>
      <c r="L106" s="179"/>
      <c r="M106" s="179"/>
      <c r="N106" s="179"/>
      <c r="O106" s="179"/>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1"/>
      <c r="C107" s="182"/>
      <c r="D107" s="179"/>
      <c r="E107" s="179"/>
      <c r="F107" s="179"/>
      <c r="G107" s="179"/>
      <c r="H107" s="180" t="str">
        <f t="shared" si="14"/>
        <v/>
      </c>
      <c r="I107" s="180"/>
      <c r="J107" s="87"/>
      <c r="K107" s="179"/>
      <c r="L107" s="179"/>
      <c r="M107" s="179"/>
      <c r="N107" s="179"/>
      <c r="O107" s="179"/>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1"/>
      <c r="C108" s="182"/>
      <c r="D108" s="179"/>
      <c r="E108" s="179"/>
      <c r="F108" s="179"/>
      <c r="G108" s="179"/>
      <c r="H108" s="180" t="str">
        <f t="shared" si="14"/>
        <v/>
      </c>
      <c r="I108" s="180"/>
      <c r="J108" s="87"/>
      <c r="K108" s="179"/>
      <c r="L108" s="179"/>
      <c r="M108" s="179"/>
      <c r="N108" s="179"/>
      <c r="O108" s="179"/>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1"/>
      <c r="C109" s="182"/>
      <c r="D109" s="179"/>
      <c r="E109" s="179"/>
      <c r="F109" s="179"/>
      <c r="G109" s="179"/>
      <c r="H109" s="180" t="str">
        <f t="shared" si="14"/>
        <v/>
      </c>
      <c r="I109" s="180"/>
      <c r="J109" s="87"/>
      <c r="K109" s="179"/>
      <c r="L109" s="179"/>
      <c r="M109" s="179"/>
      <c r="N109" s="179"/>
      <c r="O109" s="179"/>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1"/>
      <c r="C110" s="182"/>
      <c r="D110" s="179"/>
      <c r="E110" s="179"/>
      <c r="F110" s="179"/>
      <c r="G110" s="179"/>
      <c r="H110" s="180" t="str">
        <f t="shared" si="14"/>
        <v/>
      </c>
      <c r="I110" s="180"/>
      <c r="J110" s="87"/>
      <c r="K110" s="179"/>
      <c r="L110" s="179"/>
      <c r="M110" s="179"/>
      <c r="N110" s="179"/>
      <c r="O110" s="179"/>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1"/>
      <c r="C111" s="182"/>
      <c r="D111" s="179"/>
      <c r="E111" s="179"/>
      <c r="F111" s="179"/>
      <c r="G111" s="179"/>
      <c r="H111" s="180" t="str">
        <f t="shared" si="14"/>
        <v/>
      </c>
      <c r="I111" s="180"/>
      <c r="J111" s="87"/>
      <c r="K111" s="179"/>
      <c r="L111" s="179"/>
      <c r="M111" s="179"/>
      <c r="N111" s="179"/>
      <c r="O111" s="179"/>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1"/>
      <c r="C112" s="182"/>
      <c r="D112" s="179"/>
      <c r="E112" s="179"/>
      <c r="F112" s="179"/>
      <c r="G112" s="179"/>
      <c r="H112" s="180" t="str">
        <f t="shared" si="14"/>
        <v/>
      </c>
      <c r="I112" s="180"/>
      <c r="J112" s="87"/>
      <c r="K112" s="179"/>
      <c r="L112" s="179"/>
      <c r="M112" s="179"/>
      <c r="N112" s="179"/>
      <c r="O112" s="179"/>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1"/>
      <c r="C113" s="182"/>
      <c r="D113" s="179"/>
      <c r="E113" s="179"/>
      <c r="F113" s="179"/>
      <c r="G113" s="179"/>
      <c r="H113" s="180" t="str">
        <f t="shared" si="14"/>
        <v/>
      </c>
      <c r="I113" s="180"/>
      <c r="J113" s="87"/>
      <c r="K113" s="179"/>
      <c r="L113" s="179"/>
      <c r="M113" s="179"/>
      <c r="N113" s="179"/>
      <c r="O113" s="179"/>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1"/>
      <c r="C114" s="182"/>
      <c r="D114" s="179"/>
      <c r="E114" s="179"/>
      <c r="F114" s="179"/>
      <c r="G114" s="179"/>
      <c r="H114" s="180" t="str">
        <f t="shared" si="14"/>
        <v/>
      </c>
      <c r="I114" s="180"/>
      <c r="J114" s="87"/>
      <c r="K114" s="179"/>
      <c r="L114" s="179"/>
      <c r="M114" s="179"/>
      <c r="N114" s="179"/>
      <c r="O114" s="179"/>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1"/>
      <c r="C115" s="182"/>
      <c r="D115" s="179"/>
      <c r="E115" s="179"/>
      <c r="F115" s="179"/>
      <c r="G115" s="179"/>
      <c r="H115" s="180" t="str">
        <f t="shared" si="14"/>
        <v/>
      </c>
      <c r="I115" s="180"/>
      <c r="J115" s="87"/>
      <c r="K115" s="179"/>
      <c r="L115" s="179"/>
      <c r="M115" s="179"/>
      <c r="N115" s="179"/>
      <c r="O115" s="179"/>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1"/>
      <c r="C116" s="182"/>
      <c r="D116" s="179"/>
      <c r="E116" s="179"/>
      <c r="F116" s="179"/>
      <c r="G116" s="179"/>
      <c r="H116" s="180" t="str">
        <f t="shared" si="14"/>
        <v/>
      </c>
      <c r="I116" s="180"/>
      <c r="J116" s="87"/>
      <c r="K116" s="179"/>
      <c r="L116" s="179"/>
      <c r="M116" s="179"/>
      <c r="N116" s="179"/>
      <c r="O116" s="179"/>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1"/>
      <c r="C117" s="182"/>
      <c r="D117" s="179"/>
      <c r="E117" s="179"/>
      <c r="F117" s="179"/>
      <c r="G117" s="179"/>
      <c r="H117" s="180" t="str">
        <f t="shared" si="14"/>
        <v/>
      </c>
      <c r="I117" s="180"/>
      <c r="J117" s="87"/>
      <c r="K117" s="179"/>
      <c r="L117" s="179"/>
      <c r="M117" s="179"/>
      <c r="N117" s="179"/>
      <c r="O117" s="179"/>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1"/>
      <c r="C118" s="182"/>
      <c r="D118" s="179"/>
      <c r="E118" s="179"/>
      <c r="F118" s="179"/>
      <c r="G118" s="179"/>
      <c r="H118" s="180" t="str">
        <f t="shared" si="14"/>
        <v/>
      </c>
      <c r="I118" s="180"/>
      <c r="J118" s="87"/>
      <c r="K118" s="179"/>
      <c r="L118" s="179"/>
      <c r="M118" s="179"/>
      <c r="N118" s="179"/>
      <c r="O118" s="179"/>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1"/>
      <c r="C119" s="182"/>
      <c r="D119" s="179"/>
      <c r="E119" s="179"/>
      <c r="F119" s="179"/>
      <c r="G119" s="179"/>
      <c r="H119" s="180" t="str">
        <f t="shared" si="14"/>
        <v/>
      </c>
      <c r="I119" s="180"/>
      <c r="J119" s="87"/>
      <c r="K119" s="179"/>
      <c r="L119" s="179"/>
      <c r="M119" s="179"/>
      <c r="N119" s="179"/>
      <c r="O119" s="179"/>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1"/>
      <c r="C120" s="182"/>
      <c r="D120" s="179"/>
      <c r="E120" s="179"/>
      <c r="F120" s="179"/>
      <c r="G120" s="179"/>
      <c r="H120" s="180" t="str">
        <f t="shared" si="14"/>
        <v/>
      </c>
      <c r="I120" s="180"/>
      <c r="J120" s="87"/>
      <c r="K120" s="179"/>
      <c r="L120" s="179"/>
      <c r="M120" s="179"/>
      <c r="N120" s="179"/>
      <c r="O120" s="179"/>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1"/>
      <c r="C121" s="182"/>
      <c r="D121" s="179"/>
      <c r="E121" s="179"/>
      <c r="F121" s="179"/>
      <c r="G121" s="179"/>
      <c r="H121" s="180" t="str">
        <f t="shared" si="14"/>
        <v/>
      </c>
      <c r="I121" s="180"/>
      <c r="J121" s="87"/>
      <c r="K121" s="179"/>
      <c r="L121" s="179"/>
      <c r="M121" s="179"/>
      <c r="N121" s="179"/>
      <c r="O121" s="179"/>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1"/>
      <c r="C122" s="182"/>
      <c r="D122" s="179"/>
      <c r="E122" s="179"/>
      <c r="F122" s="179"/>
      <c r="G122" s="179"/>
      <c r="H122" s="180" t="str">
        <f t="shared" si="14"/>
        <v/>
      </c>
      <c r="I122" s="180"/>
      <c r="J122" s="87"/>
      <c r="K122" s="179"/>
      <c r="L122" s="179"/>
      <c r="M122" s="179"/>
      <c r="N122" s="179"/>
      <c r="O122" s="179"/>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1"/>
      <c r="C123" s="182"/>
      <c r="D123" s="179"/>
      <c r="E123" s="179"/>
      <c r="F123" s="179"/>
      <c r="G123" s="179"/>
      <c r="H123" s="180" t="str">
        <f t="shared" si="14"/>
        <v/>
      </c>
      <c r="I123" s="180"/>
      <c r="J123" s="87"/>
      <c r="K123" s="179"/>
      <c r="L123" s="179"/>
      <c r="M123" s="179"/>
      <c r="N123" s="179"/>
      <c r="O123" s="179"/>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1"/>
      <c r="C124" s="182"/>
      <c r="D124" s="179"/>
      <c r="E124" s="179"/>
      <c r="F124" s="179"/>
      <c r="G124" s="179"/>
      <c r="H124" s="180" t="str">
        <f t="shared" ref="H124:H187" si="25">IF(J124="","",J124)</f>
        <v/>
      </c>
      <c r="I124" s="180"/>
      <c r="J124" s="87"/>
      <c r="K124" s="179"/>
      <c r="L124" s="179"/>
      <c r="M124" s="179"/>
      <c r="N124" s="179"/>
      <c r="O124" s="179"/>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1"/>
      <c r="C125" s="182"/>
      <c r="D125" s="179"/>
      <c r="E125" s="179"/>
      <c r="F125" s="179"/>
      <c r="G125" s="179"/>
      <c r="H125" s="180" t="str">
        <f t="shared" si="25"/>
        <v/>
      </c>
      <c r="I125" s="180"/>
      <c r="J125" s="87"/>
      <c r="K125" s="179"/>
      <c r="L125" s="179"/>
      <c r="M125" s="179"/>
      <c r="N125" s="179"/>
      <c r="O125" s="179"/>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1"/>
      <c r="C126" s="182"/>
      <c r="D126" s="179"/>
      <c r="E126" s="179"/>
      <c r="F126" s="179"/>
      <c r="G126" s="179"/>
      <c r="H126" s="180" t="str">
        <f t="shared" si="25"/>
        <v/>
      </c>
      <c r="I126" s="180"/>
      <c r="J126" s="87"/>
      <c r="K126" s="179"/>
      <c r="L126" s="179"/>
      <c r="M126" s="179"/>
      <c r="N126" s="179"/>
      <c r="O126" s="179"/>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1"/>
      <c r="C127" s="182"/>
      <c r="D127" s="179"/>
      <c r="E127" s="179"/>
      <c r="F127" s="179"/>
      <c r="G127" s="179"/>
      <c r="H127" s="180" t="str">
        <f t="shared" si="25"/>
        <v/>
      </c>
      <c r="I127" s="180"/>
      <c r="J127" s="87"/>
      <c r="K127" s="179"/>
      <c r="L127" s="179"/>
      <c r="M127" s="179"/>
      <c r="N127" s="179"/>
      <c r="O127" s="179"/>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1"/>
      <c r="C128" s="182"/>
      <c r="D128" s="179"/>
      <c r="E128" s="179"/>
      <c r="F128" s="179"/>
      <c r="G128" s="179"/>
      <c r="H128" s="180" t="str">
        <f t="shared" si="25"/>
        <v/>
      </c>
      <c r="I128" s="180"/>
      <c r="J128" s="87"/>
      <c r="K128" s="179"/>
      <c r="L128" s="179"/>
      <c r="M128" s="179"/>
      <c r="N128" s="179"/>
      <c r="O128" s="179"/>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1"/>
      <c r="C129" s="182"/>
      <c r="D129" s="179"/>
      <c r="E129" s="179"/>
      <c r="F129" s="179"/>
      <c r="G129" s="179"/>
      <c r="H129" s="180" t="str">
        <f t="shared" si="25"/>
        <v/>
      </c>
      <c r="I129" s="180"/>
      <c r="J129" s="87"/>
      <c r="K129" s="179"/>
      <c r="L129" s="179"/>
      <c r="M129" s="179"/>
      <c r="N129" s="179"/>
      <c r="O129" s="179"/>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1"/>
      <c r="C130" s="182"/>
      <c r="D130" s="179"/>
      <c r="E130" s="179"/>
      <c r="F130" s="179"/>
      <c r="G130" s="179"/>
      <c r="H130" s="180" t="str">
        <f t="shared" si="25"/>
        <v/>
      </c>
      <c r="I130" s="180"/>
      <c r="J130" s="87"/>
      <c r="K130" s="179"/>
      <c r="L130" s="179"/>
      <c r="M130" s="179"/>
      <c r="N130" s="179"/>
      <c r="O130" s="179"/>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1"/>
      <c r="C131" s="182"/>
      <c r="D131" s="179"/>
      <c r="E131" s="179"/>
      <c r="F131" s="179"/>
      <c r="G131" s="179"/>
      <c r="H131" s="180" t="str">
        <f t="shared" si="25"/>
        <v/>
      </c>
      <c r="I131" s="180"/>
      <c r="J131" s="87"/>
      <c r="K131" s="179"/>
      <c r="L131" s="179"/>
      <c r="M131" s="179"/>
      <c r="N131" s="179"/>
      <c r="O131" s="179"/>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1"/>
      <c r="C132" s="182"/>
      <c r="D132" s="179"/>
      <c r="E132" s="179"/>
      <c r="F132" s="179"/>
      <c r="G132" s="179"/>
      <c r="H132" s="180" t="str">
        <f t="shared" si="25"/>
        <v/>
      </c>
      <c r="I132" s="180"/>
      <c r="J132" s="87"/>
      <c r="K132" s="179"/>
      <c r="L132" s="179"/>
      <c r="M132" s="179"/>
      <c r="N132" s="179"/>
      <c r="O132" s="179"/>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1"/>
      <c r="C133" s="182"/>
      <c r="D133" s="179"/>
      <c r="E133" s="179"/>
      <c r="F133" s="179"/>
      <c r="G133" s="179"/>
      <c r="H133" s="180" t="str">
        <f t="shared" si="25"/>
        <v/>
      </c>
      <c r="I133" s="180"/>
      <c r="J133" s="87"/>
      <c r="K133" s="179"/>
      <c r="L133" s="179"/>
      <c r="M133" s="179"/>
      <c r="N133" s="179"/>
      <c r="O133" s="179"/>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1"/>
      <c r="C134" s="182"/>
      <c r="D134" s="179"/>
      <c r="E134" s="179"/>
      <c r="F134" s="179"/>
      <c r="G134" s="179"/>
      <c r="H134" s="180" t="str">
        <f t="shared" si="25"/>
        <v/>
      </c>
      <c r="I134" s="180"/>
      <c r="J134" s="87"/>
      <c r="K134" s="179"/>
      <c r="L134" s="179"/>
      <c r="M134" s="179"/>
      <c r="N134" s="179"/>
      <c r="O134" s="179"/>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1"/>
      <c r="C135" s="182"/>
      <c r="D135" s="179"/>
      <c r="E135" s="179"/>
      <c r="F135" s="179"/>
      <c r="G135" s="179"/>
      <c r="H135" s="180" t="str">
        <f t="shared" si="25"/>
        <v/>
      </c>
      <c r="I135" s="180"/>
      <c r="J135" s="87"/>
      <c r="K135" s="179"/>
      <c r="L135" s="179"/>
      <c r="M135" s="179"/>
      <c r="N135" s="179"/>
      <c r="O135" s="179"/>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1"/>
      <c r="C136" s="182"/>
      <c r="D136" s="179"/>
      <c r="E136" s="179"/>
      <c r="F136" s="179"/>
      <c r="G136" s="179"/>
      <c r="H136" s="180" t="str">
        <f t="shared" si="25"/>
        <v/>
      </c>
      <c r="I136" s="180"/>
      <c r="J136" s="87"/>
      <c r="K136" s="179"/>
      <c r="L136" s="179"/>
      <c r="M136" s="179"/>
      <c r="N136" s="179"/>
      <c r="O136" s="179"/>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1"/>
      <c r="C137" s="182"/>
      <c r="D137" s="179"/>
      <c r="E137" s="179"/>
      <c r="F137" s="179"/>
      <c r="G137" s="179"/>
      <c r="H137" s="180" t="str">
        <f t="shared" si="25"/>
        <v/>
      </c>
      <c r="I137" s="180"/>
      <c r="J137" s="87"/>
      <c r="K137" s="179"/>
      <c r="L137" s="179"/>
      <c r="M137" s="179"/>
      <c r="N137" s="179"/>
      <c r="O137" s="179"/>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1"/>
      <c r="C138" s="182"/>
      <c r="D138" s="179"/>
      <c r="E138" s="179"/>
      <c r="F138" s="179"/>
      <c r="G138" s="179"/>
      <c r="H138" s="180" t="str">
        <f t="shared" si="25"/>
        <v/>
      </c>
      <c r="I138" s="180"/>
      <c r="J138" s="87"/>
      <c r="K138" s="179"/>
      <c r="L138" s="179"/>
      <c r="M138" s="179"/>
      <c r="N138" s="179"/>
      <c r="O138" s="179"/>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1"/>
      <c r="C139" s="182"/>
      <c r="D139" s="179"/>
      <c r="E139" s="179"/>
      <c r="F139" s="179"/>
      <c r="G139" s="179"/>
      <c r="H139" s="180" t="str">
        <f t="shared" si="25"/>
        <v/>
      </c>
      <c r="I139" s="180"/>
      <c r="J139" s="87"/>
      <c r="K139" s="179"/>
      <c r="L139" s="179"/>
      <c r="M139" s="179"/>
      <c r="N139" s="179"/>
      <c r="O139" s="179"/>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1"/>
      <c r="C140" s="182"/>
      <c r="D140" s="179"/>
      <c r="E140" s="179"/>
      <c r="F140" s="179"/>
      <c r="G140" s="179"/>
      <c r="H140" s="180" t="str">
        <f t="shared" si="25"/>
        <v/>
      </c>
      <c r="I140" s="180"/>
      <c r="J140" s="87"/>
      <c r="K140" s="179"/>
      <c r="L140" s="179"/>
      <c r="M140" s="179"/>
      <c r="N140" s="179"/>
      <c r="O140" s="179"/>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1"/>
      <c r="C141" s="182"/>
      <c r="D141" s="179"/>
      <c r="E141" s="179"/>
      <c r="F141" s="179"/>
      <c r="G141" s="179"/>
      <c r="H141" s="180" t="str">
        <f t="shared" si="25"/>
        <v/>
      </c>
      <c r="I141" s="180"/>
      <c r="J141" s="87"/>
      <c r="K141" s="179"/>
      <c r="L141" s="179"/>
      <c r="M141" s="179"/>
      <c r="N141" s="179"/>
      <c r="O141" s="179"/>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1"/>
      <c r="C142" s="182"/>
      <c r="D142" s="179"/>
      <c r="E142" s="179"/>
      <c r="F142" s="179"/>
      <c r="G142" s="179"/>
      <c r="H142" s="180" t="str">
        <f t="shared" si="25"/>
        <v/>
      </c>
      <c r="I142" s="180"/>
      <c r="J142" s="87"/>
      <c r="K142" s="179"/>
      <c r="L142" s="179"/>
      <c r="M142" s="179"/>
      <c r="N142" s="179"/>
      <c r="O142" s="179"/>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1"/>
      <c r="C143" s="182"/>
      <c r="D143" s="179"/>
      <c r="E143" s="179"/>
      <c r="F143" s="179"/>
      <c r="G143" s="179"/>
      <c r="H143" s="180" t="str">
        <f t="shared" si="25"/>
        <v/>
      </c>
      <c r="I143" s="180"/>
      <c r="J143" s="87"/>
      <c r="K143" s="179"/>
      <c r="L143" s="179"/>
      <c r="M143" s="179"/>
      <c r="N143" s="179"/>
      <c r="O143" s="179"/>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1"/>
      <c r="C144" s="182"/>
      <c r="D144" s="179"/>
      <c r="E144" s="179"/>
      <c r="F144" s="179"/>
      <c r="G144" s="179"/>
      <c r="H144" s="180" t="str">
        <f t="shared" si="25"/>
        <v/>
      </c>
      <c r="I144" s="180"/>
      <c r="J144" s="87"/>
      <c r="K144" s="179"/>
      <c r="L144" s="179"/>
      <c r="M144" s="179"/>
      <c r="N144" s="179"/>
      <c r="O144" s="179"/>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1"/>
      <c r="C145" s="182"/>
      <c r="D145" s="179"/>
      <c r="E145" s="179"/>
      <c r="F145" s="179"/>
      <c r="G145" s="179"/>
      <c r="H145" s="180" t="str">
        <f t="shared" si="25"/>
        <v/>
      </c>
      <c r="I145" s="180"/>
      <c r="J145" s="87"/>
      <c r="K145" s="179"/>
      <c r="L145" s="179"/>
      <c r="M145" s="179"/>
      <c r="N145" s="179"/>
      <c r="O145" s="179"/>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1"/>
      <c r="C146" s="182"/>
      <c r="D146" s="179"/>
      <c r="E146" s="179"/>
      <c r="F146" s="179"/>
      <c r="G146" s="179"/>
      <c r="H146" s="180" t="str">
        <f t="shared" si="25"/>
        <v/>
      </c>
      <c r="I146" s="180"/>
      <c r="J146" s="87"/>
      <c r="K146" s="179"/>
      <c r="L146" s="179"/>
      <c r="M146" s="179"/>
      <c r="N146" s="179"/>
      <c r="O146" s="179"/>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1"/>
      <c r="C147" s="182"/>
      <c r="D147" s="179"/>
      <c r="E147" s="179"/>
      <c r="F147" s="179"/>
      <c r="G147" s="179"/>
      <c r="H147" s="180" t="str">
        <f t="shared" si="25"/>
        <v/>
      </c>
      <c r="I147" s="180"/>
      <c r="J147" s="87"/>
      <c r="K147" s="179"/>
      <c r="L147" s="179"/>
      <c r="M147" s="179"/>
      <c r="N147" s="179"/>
      <c r="O147" s="179"/>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1"/>
      <c r="C148" s="182"/>
      <c r="D148" s="179"/>
      <c r="E148" s="179"/>
      <c r="F148" s="179"/>
      <c r="G148" s="179"/>
      <c r="H148" s="180" t="str">
        <f t="shared" si="25"/>
        <v/>
      </c>
      <c r="I148" s="180"/>
      <c r="J148" s="87"/>
      <c r="K148" s="179"/>
      <c r="L148" s="179"/>
      <c r="M148" s="179"/>
      <c r="N148" s="179"/>
      <c r="O148" s="179"/>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1"/>
      <c r="C149" s="182"/>
      <c r="D149" s="179"/>
      <c r="E149" s="179"/>
      <c r="F149" s="179"/>
      <c r="G149" s="179"/>
      <c r="H149" s="180" t="str">
        <f t="shared" si="25"/>
        <v/>
      </c>
      <c r="I149" s="180"/>
      <c r="J149" s="87"/>
      <c r="K149" s="179"/>
      <c r="L149" s="179"/>
      <c r="M149" s="179"/>
      <c r="N149" s="179"/>
      <c r="O149" s="179"/>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1"/>
      <c r="C150" s="182"/>
      <c r="D150" s="179"/>
      <c r="E150" s="179"/>
      <c r="F150" s="179"/>
      <c r="G150" s="179"/>
      <c r="H150" s="180" t="str">
        <f t="shared" si="25"/>
        <v/>
      </c>
      <c r="I150" s="180"/>
      <c r="J150" s="87"/>
      <c r="K150" s="179"/>
      <c r="L150" s="179"/>
      <c r="M150" s="179"/>
      <c r="N150" s="179"/>
      <c r="O150" s="179"/>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1"/>
      <c r="C151" s="182"/>
      <c r="D151" s="179"/>
      <c r="E151" s="179"/>
      <c r="F151" s="179"/>
      <c r="G151" s="179"/>
      <c r="H151" s="180" t="str">
        <f t="shared" si="25"/>
        <v/>
      </c>
      <c r="I151" s="180"/>
      <c r="J151" s="87"/>
      <c r="K151" s="179"/>
      <c r="L151" s="179"/>
      <c r="M151" s="179"/>
      <c r="N151" s="179"/>
      <c r="O151" s="179"/>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1"/>
      <c r="C152" s="182"/>
      <c r="D152" s="179"/>
      <c r="E152" s="179"/>
      <c r="F152" s="179"/>
      <c r="G152" s="179"/>
      <c r="H152" s="180" t="str">
        <f t="shared" si="25"/>
        <v/>
      </c>
      <c r="I152" s="180"/>
      <c r="J152" s="87"/>
      <c r="K152" s="179"/>
      <c r="L152" s="179"/>
      <c r="M152" s="179"/>
      <c r="N152" s="179"/>
      <c r="O152" s="179"/>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1"/>
      <c r="C153" s="182"/>
      <c r="D153" s="179"/>
      <c r="E153" s="179"/>
      <c r="F153" s="179"/>
      <c r="G153" s="179"/>
      <c r="H153" s="180" t="str">
        <f t="shared" si="25"/>
        <v/>
      </c>
      <c r="I153" s="180"/>
      <c r="J153" s="87"/>
      <c r="K153" s="179"/>
      <c r="L153" s="179"/>
      <c r="M153" s="179"/>
      <c r="N153" s="179"/>
      <c r="O153" s="179"/>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1"/>
      <c r="C154" s="182"/>
      <c r="D154" s="179"/>
      <c r="E154" s="179"/>
      <c r="F154" s="179"/>
      <c r="G154" s="179"/>
      <c r="H154" s="180" t="str">
        <f t="shared" si="25"/>
        <v/>
      </c>
      <c r="I154" s="180"/>
      <c r="J154" s="87"/>
      <c r="K154" s="179"/>
      <c r="L154" s="179"/>
      <c r="M154" s="179"/>
      <c r="N154" s="179"/>
      <c r="O154" s="179"/>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1"/>
      <c r="C155" s="182"/>
      <c r="D155" s="179"/>
      <c r="E155" s="179"/>
      <c r="F155" s="179"/>
      <c r="G155" s="179"/>
      <c r="H155" s="180" t="str">
        <f t="shared" si="25"/>
        <v/>
      </c>
      <c r="I155" s="180"/>
      <c r="J155" s="87"/>
      <c r="K155" s="179"/>
      <c r="L155" s="179"/>
      <c r="M155" s="179"/>
      <c r="N155" s="179"/>
      <c r="O155" s="179"/>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1"/>
      <c r="C156" s="182"/>
      <c r="D156" s="179"/>
      <c r="E156" s="179"/>
      <c r="F156" s="179"/>
      <c r="G156" s="179"/>
      <c r="H156" s="180" t="str">
        <f t="shared" si="25"/>
        <v/>
      </c>
      <c r="I156" s="180"/>
      <c r="J156" s="87"/>
      <c r="K156" s="179"/>
      <c r="L156" s="179"/>
      <c r="M156" s="179"/>
      <c r="N156" s="179"/>
      <c r="O156" s="179"/>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1"/>
      <c r="C157" s="182"/>
      <c r="D157" s="179"/>
      <c r="E157" s="179"/>
      <c r="F157" s="179"/>
      <c r="G157" s="179"/>
      <c r="H157" s="180" t="str">
        <f t="shared" si="25"/>
        <v/>
      </c>
      <c r="I157" s="180"/>
      <c r="J157" s="87"/>
      <c r="K157" s="179"/>
      <c r="L157" s="179"/>
      <c r="M157" s="179"/>
      <c r="N157" s="179"/>
      <c r="O157" s="179"/>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1"/>
      <c r="C158" s="182"/>
      <c r="D158" s="179"/>
      <c r="E158" s="179"/>
      <c r="F158" s="179"/>
      <c r="G158" s="179"/>
      <c r="H158" s="180" t="str">
        <f t="shared" si="25"/>
        <v/>
      </c>
      <c r="I158" s="180"/>
      <c r="J158" s="87"/>
      <c r="K158" s="179"/>
      <c r="L158" s="179"/>
      <c r="M158" s="179"/>
      <c r="N158" s="179"/>
      <c r="O158" s="179"/>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1"/>
      <c r="C159" s="182"/>
      <c r="D159" s="179"/>
      <c r="E159" s="179"/>
      <c r="F159" s="179"/>
      <c r="G159" s="179"/>
      <c r="H159" s="180" t="str">
        <f t="shared" si="25"/>
        <v/>
      </c>
      <c r="I159" s="180"/>
      <c r="J159" s="87"/>
      <c r="K159" s="179"/>
      <c r="L159" s="179"/>
      <c r="M159" s="179"/>
      <c r="N159" s="179"/>
      <c r="O159" s="179"/>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1"/>
      <c r="C160" s="182"/>
      <c r="D160" s="179"/>
      <c r="E160" s="179"/>
      <c r="F160" s="179"/>
      <c r="G160" s="179"/>
      <c r="H160" s="180" t="str">
        <f t="shared" si="25"/>
        <v/>
      </c>
      <c r="I160" s="180"/>
      <c r="J160" s="87"/>
      <c r="K160" s="179"/>
      <c r="L160" s="179"/>
      <c r="M160" s="179"/>
      <c r="N160" s="179"/>
      <c r="O160" s="179"/>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1"/>
      <c r="C161" s="182"/>
      <c r="D161" s="179"/>
      <c r="E161" s="179"/>
      <c r="F161" s="179"/>
      <c r="G161" s="179"/>
      <c r="H161" s="180" t="str">
        <f t="shared" si="25"/>
        <v/>
      </c>
      <c r="I161" s="180"/>
      <c r="J161" s="87"/>
      <c r="K161" s="179"/>
      <c r="L161" s="179"/>
      <c r="M161" s="179"/>
      <c r="N161" s="179"/>
      <c r="O161" s="179"/>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1"/>
      <c r="C162" s="182"/>
      <c r="D162" s="179"/>
      <c r="E162" s="179"/>
      <c r="F162" s="179"/>
      <c r="G162" s="179"/>
      <c r="H162" s="180" t="str">
        <f t="shared" si="25"/>
        <v/>
      </c>
      <c r="I162" s="180"/>
      <c r="J162" s="87"/>
      <c r="K162" s="179"/>
      <c r="L162" s="179"/>
      <c r="M162" s="179"/>
      <c r="N162" s="179"/>
      <c r="O162" s="179"/>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1"/>
      <c r="C163" s="182"/>
      <c r="D163" s="179"/>
      <c r="E163" s="179"/>
      <c r="F163" s="179"/>
      <c r="G163" s="179"/>
      <c r="H163" s="180" t="str">
        <f t="shared" si="25"/>
        <v/>
      </c>
      <c r="I163" s="180"/>
      <c r="J163" s="87"/>
      <c r="K163" s="179"/>
      <c r="L163" s="179"/>
      <c r="M163" s="179"/>
      <c r="N163" s="179"/>
      <c r="O163" s="179"/>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1"/>
      <c r="C164" s="182"/>
      <c r="D164" s="179"/>
      <c r="E164" s="179"/>
      <c r="F164" s="179"/>
      <c r="G164" s="179"/>
      <c r="H164" s="180" t="str">
        <f t="shared" si="25"/>
        <v/>
      </c>
      <c r="I164" s="180"/>
      <c r="J164" s="87"/>
      <c r="K164" s="179"/>
      <c r="L164" s="179"/>
      <c r="M164" s="179"/>
      <c r="N164" s="179"/>
      <c r="O164" s="179"/>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1"/>
      <c r="C165" s="182"/>
      <c r="D165" s="179"/>
      <c r="E165" s="179"/>
      <c r="F165" s="179"/>
      <c r="G165" s="179"/>
      <c r="H165" s="180" t="str">
        <f t="shared" si="25"/>
        <v/>
      </c>
      <c r="I165" s="180"/>
      <c r="J165" s="87"/>
      <c r="K165" s="179"/>
      <c r="L165" s="179"/>
      <c r="M165" s="179"/>
      <c r="N165" s="179"/>
      <c r="O165" s="179"/>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1"/>
      <c r="C166" s="182"/>
      <c r="D166" s="179"/>
      <c r="E166" s="179"/>
      <c r="F166" s="179"/>
      <c r="G166" s="179"/>
      <c r="H166" s="180" t="str">
        <f t="shared" si="25"/>
        <v/>
      </c>
      <c r="I166" s="180"/>
      <c r="J166" s="87"/>
      <c r="K166" s="179"/>
      <c r="L166" s="179"/>
      <c r="M166" s="179"/>
      <c r="N166" s="179"/>
      <c r="O166" s="179"/>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1"/>
      <c r="C167" s="182"/>
      <c r="D167" s="179"/>
      <c r="E167" s="179"/>
      <c r="F167" s="179"/>
      <c r="G167" s="179"/>
      <c r="H167" s="180" t="str">
        <f t="shared" si="25"/>
        <v/>
      </c>
      <c r="I167" s="180"/>
      <c r="J167" s="87"/>
      <c r="K167" s="179"/>
      <c r="L167" s="179"/>
      <c r="M167" s="179"/>
      <c r="N167" s="179"/>
      <c r="O167" s="179"/>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1"/>
      <c r="C168" s="182"/>
      <c r="D168" s="179"/>
      <c r="E168" s="179"/>
      <c r="F168" s="179"/>
      <c r="G168" s="179"/>
      <c r="H168" s="180" t="str">
        <f t="shared" si="25"/>
        <v/>
      </c>
      <c r="I168" s="180"/>
      <c r="J168" s="87"/>
      <c r="K168" s="179"/>
      <c r="L168" s="179"/>
      <c r="M168" s="179"/>
      <c r="N168" s="179"/>
      <c r="O168" s="179"/>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1"/>
      <c r="C169" s="182"/>
      <c r="D169" s="179"/>
      <c r="E169" s="179"/>
      <c r="F169" s="179"/>
      <c r="G169" s="179"/>
      <c r="H169" s="180" t="str">
        <f t="shared" si="25"/>
        <v/>
      </c>
      <c r="I169" s="180"/>
      <c r="J169" s="87"/>
      <c r="K169" s="179"/>
      <c r="L169" s="179"/>
      <c r="M169" s="179"/>
      <c r="N169" s="179"/>
      <c r="O169" s="179"/>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1"/>
      <c r="C170" s="182"/>
      <c r="D170" s="179"/>
      <c r="E170" s="179"/>
      <c r="F170" s="179"/>
      <c r="G170" s="179"/>
      <c r="H170" s="180" t="str">
        <f t="shared" si="25"/>
        <v/>
      </c>
      <c r="I170" s="180"/>
      <c r="J170" s="87"/>
      <c r="K170" s="179"/>
      <c r="L170" s="179"/>
      <c r="M170" s="179"/>
      <c r="N170" s="179"/>
      <c r="O170" s="179"/>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1"/>
      <c r="C171" s="182"/>
      <c r="D171" s="179"/>
      <c r="E171" s="179"/>
      <c r="F171" s="179"/>
      <c r="G171" s="179"/>
      <c r="H171" s="180" t="str">
        <f t="shared" si="25"/>
        <v/>
      </c>
      <c r="I171" s="180"/>
      <c r="J171" s="87"/>
      <c r="K171" s="179"/>
      <c r="L171" s="179"/>
      <c r="M171" s="179"/>
      <c r="N171" s="179"/>
      <c r="O171" s="179"/>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1"/>
      <c r="C172" s="182"/>
      <c r="D172" s="179"/>
      <c r="E172" s="179"/>
      <c r="F172" s="179"/>
      <c r="G172" s="179"/>
      <c r="H172" s="180" t="str">
        <f t="shared" si="25"/>
        <v/>
      </c>
      <c r="I172" s="180"/>
      <c r="J172" s="87"/>
      <c r="K172" s="179"/>
      <c r="L172" s="179"/>
      <c r="M172" s="179"/>
      <c r="N172" s="179"/>
      <c r="O172" s="179"/>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1"/>
      <c r="C173" s="182"/>
      <c r="D173" s="179"/>
      <c r="E173" s="179"/>
      <c r="F173" s="179"/>
      <c r="G173" s="179"/>
      <c r="H173" s="180" t="str">
        <f t="shared" si="25"/>
        <v/>
      </c>
      <c r="I173" s="180"/>
      <c r="J173" s="87"/>
      <c r="K173" s="179"/>
      <c r="L173" s="179"/>
      <c r="M173" s="179"/>
      <c r="N173" s="179"/>
      <c r="O173" s="179"/>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1"/>
      <c r="C174" s="182"/>
      <c r="D174" s="179"/>
      <c r="E174" s="179"/>
      <c r="F174" s="179"/>
      <c r="G174" s="179"/>
      <c r="H174" s="180" t="str">
        <f t="shared" si="25"/>
        <v/>
      </c>
      <c r="I174" s="180"/>
      <c r="J174" s="87"/>
      <c r="K174" s="179"/>
      <c r="L174" s="179"/>
      <c r="M174" s="179"/>
      <c r="N174" s="179"/>
      <c r="O174" s="179"/>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1"/>
      <c r="C175" s="182"/>
      <c r="D175" s="179"/>
      <c r="E175" s="179"/>
      <c r="F175" s="179"/>
      <c r="G175" s="179"/>
      <c r="H175" s="180" t="str">
        <f t="shared" si="25"/>
        <v/>
      </c>
      <c r="I175" s="180"/>
      <c r="J175" s="87"/>
      <c r="K175" s="179"/>
      <c r="L175" s="179"/>
      <c r="M175" s="179"/>
      <c r="N175" s="179"/>
      <c r="O175" s="179"/>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1"/>
      <c r="C176" s="182"/>
      <c r="D176" s="179"/>
      <c r="E176" s="179"/>
      <c r="F176" s="179"/>
      <c r="G176" s="179"/>
      <c r="H176" s="180" t="str">
        <f t="shared" si="25"/>
        <v/>
      </c>
      <c r="I176" s="180"/>
      <c r="J176" s="87"/>
      <c r="K176" s="179"/>
      <c r="L176" s="179"/>
      <c r="M176" s="179"/>
      <c r="N176" s="179"/>
      <c r="O176" s="179"/>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1"/>
      <c r="C177" s="182"/>
      <c r="D177" s="179"/>
      <c r="E177" s="179"/>
      <c r="F177" s="179"/>
      <c r="G177" s="179"/>
      <c r="H177" s="180" t="str">
        <f t="shared" si="25"/>
        <v/>
      </c>
      <c r="I177" s="180"/>
      <c r="J177" s="87"/>
      <c r="K177" s="179"/>
      <c r="L177" s="179"/>
      <c r="M177" s="179"/>
      <c r="N177" s="179"/>
      <c r="O177" s="179"/>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1"/>
      <c r="C178" s="182"/>
      <c r="D178" s="179"/>
      <c r="E178" s="179"/>
      <c r="F178" s="179"/>
      <c r="G178" s="179"/>
      <c r="H178" s="180" t="str">
        <f t="shared" si="25"/>
        <v/>
      </c>
      <c r="I178" s="180"/>
      <c r="J178" s="87"/>
      <c r="K178" s="179"/>
      <c r="L178" s="179"/>
      <c r="M178" s="179"/>
      <c r="N178" s="179"/>
      <c r="O178" s="179"/>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1"/>
      <c r="C179" s="182"/>
      <c r="D179" s="179"/>
      <c r="E179" s="179"/>
      <c r="F179" s="179"/>
      <c r="G179" s="179"/>
      <c r="H179" s="180" t="str">
        <f t="shared" si="25"/>
        <v/>
      </c>
      <c r="I179" s="180"/>
      <c r="J179" s="87"/>
      <c r="K179" s="179"/>
      <c r="L179" s="179"/>
      <c r="M179" s="179"/>
      <c r="N179" s="179"/>
      <c r="O179" s="179"/>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1"/>
      <c r="C180" s="182"/>
      <c r="D180" s="179"/>
      <c r="E180" s="179"/>
      <c r="F180" s="179"/>
      <c r="G180" s="179"/>
      <c r="H180" s="180" t="str">
        <f t="shared" si="25"/>
        <v/>
      </c>
      <c r="I180" s="180"/>
      <c r="J180" s="87"/>
      <c r="K180" s="179"/>
      <c r="L180" s="179"/>
      <c r="M180" s="179"/>
      <c r="N180" s="179"/>
      <c r="O180" s="179"/>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1"/>
      <c r="C181" s="182"/>
      <c r="D181" s="179"/>
      <c r="E181" s="179"/>
      <c r="F181" s="179"/>
      <c r="G181" s="179"/>
      <c r="H181" s="180" t="str">
        <f t="shared" si="25"/>
        <v/>
      </c>
      <c r="I181" s="180"/>
      <c r="J181" s="87"/>
      <c r="K181" s="179"/>
      <c r="L181" s="179"/>
      <c r="M181" s="179"/>
      <c r="N181" s="179"/>
      <c r="O181" s="179"/>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1"/>
      <c r="C182" s="182"/>
      <c r="D182" s="179"/>
      <c r="E182" s="179"/>
      <c r="F182" s="179"/>
      <c r="G182" s="179"/>
      <c r="H182" s="180" t="str">
        <f t="shared" si="25"/>
        <v/>
      </c>
      <c r="I182" s="180"/>
      <c r="J182" s="87"/>
      <c r="K182" s="179"/>
      <c r="L182" s="179"/>
      <c r="M182" s="179"/>
      <c r="N182" s="179"/>
      <c r="O182" s="179"/>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1"/>
      <c r="C183" s="182"/>
      <c r="D183" s="179"/>
      <c r="E183" s="179"/>
      <c r="F183" s="179"/>
      <c r="G183" s="179"/>
      <c r="H183" s="180" t="str">
        <f t="shared" si="25"/>
        <v/>
      </c>
      <c r="I183" s="180"/>
      <c r="J183" s="87"/>
      <c r="K183" s="179"/>
      <c r="L183" s="179"/>
      <c r="M183" s="179"/>
      <c r="N183" s="179"/>
      <c r="O183" s="179"/>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1"/>
      <c r="C184" s="182"/>
      <c r="D184" s="179"/>
      <c r="E184" s="179"/>
      <c r="F184" s="179"/>
      <c r="G184" s="179"/>
      <c r="H184" s="180" t="str">
        <f t="shared" si="25"/>
        <v/>
      </c>
      <c r="I184" s="180"/>
      <c r="J184" s="87"/>
      <c r="K184" s="179"/>
      <c r="L184" s="179"/>
      <c r="M184" s="179"/>
      <c r="N184" s="179"/>
      <c r="O184" s="179"/>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1"/>
      <c r="C185" s="182"/>
      <c r="D185" s="179"/>
      <c r="E185" s="179"/>
      <c r="F185" s="179"/>
      <c r="G185" s="179"/>
      <c r="H185" s="180" t="str">
        <f t="shared" si="25"/>
        <v/>
      </c>
      <c r="I185" s="180"/>
      <c r="J185" s="87"/>
      <c r="K185" s="179"/>
      <c r="L185" s="179"/>
      <c r="M185" s="179"/>
      <c r="N185" s="179"/>
      <c r="O185" s="179"/>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1"/>
      <c r="C186" s="182"/>
      <c r="D186" s="179"/>
      <c r="E186" s="179"/>
      <c r="F186" s="179"/>
      <c r="G186" s="179"/>
      <c r="H186" s="180" t="str">
        <f t="shared" si="25"/>
        <v/>
      </c>
      <c r="I186" s="180"/>
      <c r="J186" s="87"/>
      <c r="K186" s="179"/>
      <c r="L186" s="179"/>
      <c r="M186" s="179"/>
      <c r="N186" s="179"/>
      <c r="O186" s="179"/>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1"/>
      <c r="C187" s="182"/>
      <c r="D187" s="179"/>
      <c r="E187" s="179"/>
      <c r="F187" s="179"/>
      <c r="G187" s="179"/>
      <c r="H187" s="180" t="str">
        <f t="shared" si="25"/>
        <v/>
      </c>
      <c r="I187" s="180"/>
      <c r="J187" s="87"/>
      <c r="K187" s="179"/>
      <c r="L187" s="179"/>
      <c r="M187" s="179"/>
      <c r="N187" s="179"/>
      <c r="O187" s="179"/>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1"/>
      <c r="C188" s="182"/>
      <c r="D188" s="179"/>
      <c r="E188" s="179"/>
      <c r="F188" s="179"/>
      <c r="G188" s="179"/>
      <c r="H188" s="180" t="str">
        <f t="shared" ref="H188:H193" si="36">IF(J188="","",J188)</f>
        <v/>
      </c>
      <c r="I188" s="180"/>
      <c r="J188" s="87"/>
      <c r="K188" s="179"/>
      <c r="L188" s="179"/>
      <c r="M188" s="179"/>
      <c r="N188" s="179"/>
      <c r="O188" s="179"/>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1"/>
      <c r="C189" s="182"/>
      <c r="D189" s="179"/>
      <c r="E189" s="179"/>
      <c r="F189" s="179"/>
      <c r="G189" s="179"/>
      <c r="H189" s="180" t="str">
        <f t="shared" si="36"/>
        <v/>
      </c>
      <c r="I189" s="180"/>
      <c r="J189" s="87"/>
      <c r="K189" s="179"/>
      <c r="L189" s="179"/>
      <c r="M189" s="179"/>
      <c r="N189" s="179"/>
      <c r="O189" s="179"/>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1"/>
      <c r="C190" s="182"/>
      <c r="D190" s="179"/>
      <c r="E190" s="179"/>
      <c r="F190" s="179"/>
      <c r="G190" s="179"/>
      <c r="H190" s="180" t="str">
        <f t="shared" si="36"/>
        <v/>
      </c>
      <c r="I190" s="180"/>
      <c r="J190" s="87"/>
      <c r="K190" s="179"/>
      <c r="L190" s="179"/>
      <c r="M190" s="179"/>
      <c r="N190" s="179"/>
      <c r="O190" s="179"/>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1"/>
      <c r="C191" s="182"/>
      <c r="D191" s="179"/>
      <c r="E191" s="179"/>
      <c r="F191" s="179"/>
      <c r="G191" s="179"/>
      <c r="H191" s="180" t="str">
        <f t="shared" si="36"/>
        <v/>
      </c>
      <c r="I191" s="180"/>
      <c r="J191" s="87"/>
      <c r="K191" s="179"/>
      <c r="L191" s="179"/>
      <c r="M191" s="179"/>
      <c r="N191" s="179"/>
      <c r="O191" s="179"/>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1"/>
      <c r="C192" s="182"/>
      <c r="D192" s="179"/>
      <c r="E192" s="179"/>
      <c r="F192" s="179"/>
      <c r="G192" s="179"/>
      <c r="H192" s="180" t="str">
        <f t="shared" si="36"/>
        <v/>
      </c>
      <c r="I192" s="180"/>
      <c r="J192" s="87"/>
      <c r="K192" s="179"/>
      <c r="L192" s="179"/>
      <c r="M192" s="179"/>
      <c r="N192" s="179"/>
      <c r="O192" s="179"/>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1"/>
      <c r="C193" s="182"/>
      <c r="D193" s="179"/>
      <c r="E193" s="179"/>
      <c r="F193" s="179"/>
      <c r="G193" s="179"/>
      <c r="H193" s="180" t="str">
        <f t="shared" si="36"/>
        <v/>
      </c>
      <c r="I193" s="180"/>
      <c r="J193" s="87"/>
      <c r="K193" s="179"/>
      <c r="L193" s="179"/>
      <c r="M193" s="179"/>
      <c r="N193" s="179"/>
      <c r="O193" s="179"/>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1"/>
      <c r="C194" s="192"/>
      <c r="D194" s="193"/>
      <c r="E194" s="193"/>
      <c r="F194" s="193"/>
      <c r="G194" s="193"/>
      <c r="H194" s="194" t="str">
        <f t="shared" ref="H194" si="37">IF(J194="","",J194)</f>
        <v/>
      </c>
      <c r="I194" s="194"/>
      <c r="J194" s="86"/>
      <c r="K194" s="193"/>
      <c r="L194" s="193"/>
      <c r="M194" s="193"/>
      <c r="N194" s="193"/>
      <c r="O194" s="193"/>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83"/>
      <c r="AS775" s="184"/>
      <c r="AT775" s="184"/>
      <c r="AU775" s="184"/>
      <c r="AV775" s="184"/>
      <c r="AW775" s="184"/>
      <c r="AX775" s="184"/>
      <c r="AY775" s="184"/>
      <c r="AZ775" s="184"/>
      <c r="BA775" s="184"/>
      <c r="BB775" s="184"/>
      <c r="BC775" s="184"/>
      <c r="BD775" s="184"/>
      <c r="BE775" s="184"/>
      <c r="BF775" s="184"/>
      <c r="BG775" s="184"/>
      <c r="BH775" s="184"/>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2" workbookViewId="0">
      <selection activeCell="B25" sqref="B25:K26"/>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8" t="s">
        <v>163</v>
      </c>
      <c r="C2" s="198"/>
      <c r="D2" s="198"/>
      <c r="E2" s="198"/>
      <c r="F2" s="198"/>
      <c r="G2" s="198"/>
      <c r="H2" s="198"/>
      <c r="I2" s="198"/>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9" t="s">
        <v>168</v>
      </c>
      <c r="C4" s="199"/>
      <c r="D4" s="98"/>
      <c r="E4" s="200" t="s">
        <v>169</v>
      </c>
      <c r="F4" s="200"/>
      <c r="G4" s="54"/>
      <c r="H4" s="54"/>
      <c r="I4" s="55"/>
      <c r="J4" s="56"/>
      <c r="K4" s="57"/>
      <c r="L4" s="57"/>
      <c r="M4" s="58"/>
      <c r="N4" s="58"/>
      <c r="O4" s="58"/>
      <c r="P4" s="1"/>
      <c r="Q4" s="1"/>
      <c r="S4" s="59"/>
      <c r="T4" s="60"/>
      <c r="U4" s="55"/>
      <c r="V4" s="1" t="s">
        <v>170</v>
      </c>
      <c r="Z4" s="54"/>
      <c r="AA4" s="54"/>
      <c r="AB4" s="54"/>
      <c r="AC4" s="54"/>
      <c r="AD4" s="54"/>
      <c r="BA4" s="1"/>
      <c r="BB4" s="1"/>
      <c r="BC4" s="1"/>
      <c r="BD4" s="1"/>
      <c r="BE4" s="1"/>
    </row>
    <row r="5" spans="2:57" ht="15.75" customHeight="1">
      <c r="B5" s="201" t="s">
        <v>171</v>
      </c>
      <c r="C5" s="201"/>
      <c r="D5" s="98"/>
      <c r="E5" s="200" t="s">
        <v>12</v>
      </c>
      <c r="F5" s="200"/>
      <c r="G5" s="54"/>
      <c r="H5" s="54"/>
      <c r="I5" s="55"/>
      <c r="J5" s="56"/>
      <c r="K5" s="57"/>
      <c r="L5" s="57"/>
      <c r="M5" s="58"/>
      <c r="N5" s="58"/>
      <c r="O5" s="58"/>
      <c r="P5" s="1"/>
      <c r="Q5" s="1"/>
      <c r="S5" s="59"/>
      <c r="T5" s="60"/>
      <c r="U5" s="55"/>
      <c r="V5" s="1" t="s">
        <v>172</v>
      </c>
      <c r="Z5" s="54"/>
      <c r="AA5" s="54"/>
      <c r="AB5" s="54"/>
      <c r="AC5" s="54"/>
      <c r="AD5" s="54"/>
      <c r="BA5" s="1"/>
      <c r="BB5" s="1"/>
      <c r="BC5" s="1"/>
      <c r="BD5" s="1"/>
      <c r="BE5" s="1"/>
    </row>
    <row r="6" spans="2:57" ht="15" customHeight="1">
      <c r="B6" s="201" t="s">
        <v>173</v>
      </c>
      <c r="C6" s="201"/>
      <c r="D6" s="98"/>
      <c r="E6" s="200" t="s">
        <v>12</v>
      </c>
      <c r="F6" s="200"/>
      <c r="G6" s="54"/>
      <c r="H6" s="54"/>
      <c r="I6" s="55"/>
      <c r="J6" s="56"/>
      <c r="K6" s="63"/>
      <c r="L6" s="57"/>
      <c r="M6" s="58"/>
      <c r="N6" s="58"/>
      <c r="O6" s="58"/>
      <c r="P6" s="1"/>
      <c r="Q6" s="1"/>
      <c r="S6" s="59"/>
      <c r="T6" s="60"/>
      <c r="U6" s="55"/>
      <c r="V6" s="1" t="s">
        <v>174</v>
      </c>
      <c r="Z6" s="54"/>
      <c r="AA6" s="54"/>
      <c r="AB6" s="54"/>
      <c r="AC6" s="54"/>
      <c r="AD6" s="54"/>
      <c r="BA6" s="1"/>
      <c r="BB6" s="1"/>
      <c r="BC6" s="1"/>
      <c r="BD6" s="1"/>
      <c r="BE6" s="1"/>
    </row>
    <row r="7" spans="2:57" ht="16.5" customHeight="1" thickBot="1">
      <c r="B7" s="201" t="s">
        <v>175</v>
      </c>
      <c r="C7" s="201"/>
      <c r="D7" s="98"/>
      <c r="E7" s="202" t="s">
        <v>176</v>
      </c>
      <c r="F7" s="202"/>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1" t="s">
        <v>177</v>
      </c>
      <c r="C8" s="201"/>
      <c r="D8" s="98"/>
      <c r="E8" s="202" t="s">
        <v>178</v>
      </c>
      <c r="F8" s="202"/>
      <c r="G8" s="54"/>
      <c r="H8" s="54"/>
      <c r="I8" s="55"/>
      <c r="J8" s="56"/>
      <c r="K8" s="64"/>
      <c r="L8" s="57"/>
      <c r="M8" s="66">
        <f>COUNTA(H22:H71)</f>
        <v>2</v>
      </c>
      <c r="N8" s="65">
        <f>COUNTA(#REF!)</f>
        <v>1</v>
      </c>
      <c r="O8" s="64"/>
      <c r="P8" s="64"/>
      <c r="Q8" s="1"/>
      <c r="S8" s="59"/>
      <c r="T8" s="60"/>
      <c r="U8" s="55"/>
      <c r="V8" s="1" t="s">
        <v>179</v>
      </c>
      <c r="Z8" s="54"/>
      <c r="AA8" s="54"/>
      <c r="AB8" s="54"/>
      <c r="AC8" s="54"/>
      <c r="AD8" s="54"/>
      <c r="BA8" s="1"/>
      <c r="BB8" s="1"/>
      <c r="BC8" s="1"/>
      <c r="BD8" s="1"/>
      <c r="BE8" s="1"/>
    </row>
    <row r="9" spans="2:57" ht="13.9" thickTop="1">
      <c r="B9" s="201" t="s">
        <v>180</v>
      </c>
      <c r="C9" s="201"/>
      <c r="D9" s="98"/>
      <c r="E9" s="202"/>
      <c r="F9" s="202"/>
      <c r="G9" s="54"/>
      <c r="H9" s="54"/>
      <c r="I9" s="55"/>
      <c r="J9" s="56"/>
      <c r="K9" s="67"/>
      <c r="L9" s="64"/>
      <c r="M9" s="64"/>
      <c r="N9" s="64" t="str">
        <f>'Inspection Details'!T12</f>
        <v>Code_Inspection Summary_Code.xlsm</v>
      </c>
      <c r="O9" s="58"/>
      <c r="P9" s="1"/>
      <c r="Q9" s="1"/>
      <c r="S9" s="59"/>
      <c r="T9" s="60"/>
      <c r="U9" s="55"/>
      <c r="V9" s="1" t="s">
        <v>181</v>
      </c>
      <c r="Z9" s="54"/>
      <c r="AA9" s="54"/>
      <c r="AB9" s="54"/>
      <c r="AC9" s="54"/>
      <c r="AD9" s="54"/>
      <c r="BA9" s="1"/>
      <c r="BB9" s="1"/>
      <c r="BC9" s="1"/>
      <c r="BD9" s="1"/>
      <c r="BE9" s="1"/>
    </row>
    <row r="10" spans="2:57" ht="13.9" thickBot="1">
      <c r="B10" s="201" t="str">
        <f>IF(E6="Code","No.of Lines Reviewed(KSLOC) :","No.of Pages Reviewed")</f>
        <v>No.of Lines Reviewed(KSLOC) :</v>
      </c>
      <c r="C10" s="201"/>
      <c r="D10" s="98"/>
      <c r="E10" s="203"/>
      <c r="F10" s="203"/>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182</v>
      </c>
      <c r="P11" s="56" t="e">
        <f t="array" ref="P11">SUM(IF($E$22:$E$71=#REF!,1,0))</f>
        <v>#REF!</v>
      </c>
      <c r="Q11" s="1"/>
      <c r="X11" s="59"/>
      <c r="Y11" s="60"/>
      <c r="Z11" s="60"/>
    </row>
    <row r="12" spans="2:57" ht="16.5" customHeight="1">
      <c r="B12" s="204" t="s">
        <v>183</v>
      </c>
      <c r="C12" s="204"/>
      <c r="D12" s="54"/>
      <c r="E12" s="204" t="s">
        <v>183</v>
      </c>
      <c r="F12" s="204"/>
      <c r="G12" s="204"/>
      <c r="H12" s="204" t="s">
        <v>184</v>
      </c>
      <c r="I12" s="204"/>
      <c r="J12" s="204"/>
      <c r="K12" s="54"/>
      <c r="N12" s="1"/>
      <c r="O12" s="1"/>
      <c r="P12" s="1"/>
      <c r="Q12" s="1"/>
      <c r="X12" s="62"/>
      <c r="Y12" s="60"/>
      <c r="Z12" s="60"/>
    </row>
    <row r="13" spans="2:57" ht="29.25" customHeight="1">
      <c r="B13" s="205" t="s">
        <v>185</v>
      </c>
      <c r="C13" s="206"/>
      <c r="D13" s="54"/>
      <c r="E13" s="207" t="s">
        <v>186</v>
      </c>
      <c r="F13" s="208"/>
      <c r="G13" s="209"/>
      <c r="H13" s="213" t="s">
        <v>187</v>
      </c>
      <c r="I13" s="208"/>
      <c r="J13" s="209"/>
      <c r="K13" s="54"/>
      <c r="M13" s="69" t="s">
        <v>188</v>
      </c>
      <c r="N13" s="1"/>
      <c r="O13" s="1"/>
      <c r="P13" s="1"/>
      <c r="Q13" s="1"/>
    </row>
    <row r="14" spans="2:57" ht="12.75" customHeight="1">
      <c r="B14" s="210" t="s">
        <v>189</v>
      </c>
      <c r="C14" s="211"/>
      <c r="D14" s="54"/>
      <c r="E14" s="210"/>
      <c r="F14" s="212"/>
      <c r="G14" s="211"/>
      <c r="H14" s="210" t="s">
        <v>190</v>
      </c>
      <c r="I14" s="212"/>
      <c r="J14" s="211"/>
      <c r="K14" s="54"/>
      <c r="N14" s="1"/>
      <c r="O14" s="1"/>
      <c r="P14" s="1"/>
      <c r="Q14" s="1"/>
    </row>
    <row r="15" spans="2:57" ht="12.75" customHeight="1">
      <c r="B15" s="195" t="s">
        <v>191</v>
      </c>
      <c r="C15" s="197"/>
      <c r="D15" s="54"/>
      <c r="E15" s="195"/>
      <c r="F15" s="196"/>
      <c r="G15" s="197"/>
      <c r="H15" s="195" t="s">
        <v>192</v>
      </c>
      <c r="I15" s="196"/>
      <c r="J15" s="197"/>
      <c r="K15" s="54"/>
      <c r="N15" s="1"/>
      <c r="O15" s="1"/>
      <c r="P15" s="1"/>
      <c r="Q15" s="1"/>
    </row>
    <row r="16" spans="2:57" ht="12.75" customHeight="1">
      <c r="B16" s="195" t="s">
        <v>193</v>
      </c>
      <c r="C16" s="197"/>
      <c r="D16" s="54"/>
      <c r="E16" s="195"/>
      <c r="F16" s="196"/>
      <c r="G16" s="197"/>
      <c r="H16" s="195" t="s">
        <v>194</v>
      </c>
      <c r="I16" s="196"/>
      <c r="J16" s="197"/>
      <c r="K16" s="54"/>
      <c r="N16" s="1"/>
      <c r="O16" s="1"/>
      <c r="P16" s="1"/>
      <c r="Q16" s="1"/>
    </row>
    <row r="17" spans="2:30" ht="12.75" customHeight="1">
      <c r="B17" s="195" t="s">
        <v>195</v>
      </c>
      <c r="C17" s="197"/>
      <c r="D17" s="54"/>
      <c r="E17" s="195"/>
      <c r="F17" s="196"/>
      <c r="G17" s="197"/>
      <c r="H17" s="195"/>
      <c r="I17" s="196"/>
      <c r="J17" s="197"/>
      <c r="K17" s="54"/>
      <c r="M17" s="70"/>
    </row>
    <row r="18" spans="2:30" ht="12.75" customHeight="1">
      <c r="B18" s="195" t="s">
        <v>196</v>
      </c>
      <c r="C18" s="197"/>
      <c r="D18" s="54"/>
      <c r="E18" s="195"/>
      <c r="F18" s="196"/>
      <c r="G18" s="197"/>
      <c r="H18" s="195"/>
      <c r="I18" s="196"/>
      <c r="J18" s="197"/>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6" t="s">
        <v>197</v>
      </c>
      <c r="C20" s="218" t="s">
        <v>198</v>
      </c>
      <c r="D20" s="218"/>
      <c r="E20" s="218" t="s">
        <v>199</v>
      </c>
      <c r="F20" s="220" t="s">
        <v>200</v>
      </c>
      <c r="G20" s="220" t="s">
        <v>201</v>
      </c>
      <c r="H20" s="220" t="s">
        <v>202</v>
      </c>
      <c r="I20" s="220" t="s">
        <v>203</v>
      </c>
      <c r="J20" s="222" t="s">
        <v>204</v>
      </c>
      <c r="K20" s="222" t="s">
        <v>205</v>
      </c>
      <c r="M20" s="1"/>
      <c r="N20" s="1"/>
      <c r="O20" s="1"/>
      <c r="P20" s="1"/>
      <c r="Q20" s="1"/>
    </row>
    <row r="21" spans="2:30" ht="20.100000000000001" customHeight="1">
      <c r="B21" s="217"/>
      <c r="C21" s="219"/>
      <c r="D21" s="219"/>
      <c r="E21" s="219"/>
      <c r="F21" s="221"/>
      <c r="G21" s="221"/>
      <c r="H21" s="221"/>
      <c r="I21" s="221"/>
      <c r="J21" s="223"/>
      <c r="K21" s="223"/>
      <c r="M21" s="1"/>
      <c r="N21" s="1"/>
      <c r="O21" s="1"/>
      <c r="P21" s="1"/>
      <c r="Q21" s="1"/>
      <c r="S21" s="63">
        <v>1</v>
      </c>
    </row>
    <row r="22" spans="2:30" ht="24">
      <c r="B22" s="125" t="s">
        <v>206</v>
      </c>
      <c r="C22" s="215" t="s">
        <v>207</v>
      </c>
      <c r="D22" s="215"/>
      <c r="E22" s="82" t="s">
        <v>208</v>
      </c>
      <c r="F22" s="82" t="s">
        <v>12</v>
      </c>
      <c r="G22" s="83" t="s">
        <v>209</v>
      </c>
      <c r="H22" s="84" t="s">
        <v>210</v>
      </c>
      <c r="I22" s="84" t="s">
        <v>211</v>
      </c>
      <c r="J22" s="85" t="s">
        <v>26</v>
      </c>
      <c r="K22" s="82" t="str">
        <f>IF(H22="","",$E$6)</f>
        <v>Code</v>
      </c>
      <c r="M22" s="1"/>
      <c r="N22" s="1"/>
      <c r="O22" s="1"/>
      <c r="P22" s="1"/>
      <c r="Q22" s="1"/>
      <c r="S22" s="63">
        <v>2</v>
      </c>
    </row>
    <row r="23" spans="2:30" ht="15">
      <c r="B23" s="125" t="s">
        <v>212</v>
      </c>
      <c r="C23" s="215" t="s">
        <v>213</v>
      </c>
      <c r="D23" s="215"/>
      <c r="E23" s="82" t="s">
        <v>165</v>
      </c>
      <c r="F23" s="82" t="s">
        <v>12</v>
      </c>
      <c r="G23" s="83" t="s">
        <v>160</v>
      </c>
      <c r="H23" s="84"/>
      <c r="I23" s="84" t="s">
        <v>214</v>
      </c>
      <c r="J23" s="85" t="s">
        <v>72</v>
      </c>
      <c r="K23" s="82" t="str">
        <f t="shared" ref="K23:K26" si="0">IF(H23="","",$E$6)</f>
        <v/>
      </c>
      <c r="M23" s="1"/>
      <c r="N23" s="1"/>
      <c r="O23" s="1"/>
      <c r="P23" s="1"/>
      <c r="Q23" s="1"/>
      <c r="S23" s="63">
        <v>3</v>
      </c>
    </row>
    <row r="24" spans="2:30" ht="15">
      <c r="B24" s="125" t="s">
        <v>215</v>
      </c>
      <c r="C24" s="215" t="s">
        <v>216</v>
      </c>
      <c r="D24" s="215"/>
      <c r="E24" s="82" t="s">
        <v>165</v>
      </c>
      <c r="F24" s="82" t="s">
        <v>12</v>
      </c>
      <c r="G24" s="83" t="s">
        <v>209</v>
      </c>
      <c r="H24" s="84" t="s">
        <v>217</v>
      </c>
      <c r="I24" s="84" t="s">
        <v>209</v>
      </c>
      <c r="J24" s="85" t="s">
        <v>26</v>
      </c>
      <c r="K24" s="82" t="str">
        <f t="shared" si="0"/>
        <v>Code</v>
      </c>
      <c r="M24" s="1"/>
      <c r="N24" s="1"/>
      <c r="O24" s="1"/>
      <c r="P24" s="1"/>
      <c r="Q24" s="1"/>
      <c r="S24" s="63">
        <v>4</v>
      </c>
      <c r="AA24" s="81"/>
    </row>
    <row r="25" spans="2:30" ht="15">
      <c r="B25" s="125"/>
      <c r="C25" s="215"/>
      <c r="D25" s="215"/>
      <c r="E25" s="82"/>
      <c r="F25" s="82"/>
      <c r="G25" s="83"/>
      <c r="H25" s="84"/>
      <c r="I25" s="84"/>
      <c r="J25" s="85"/>
      <c r="K25" s="82"/>
      <c r="M25" s="1"/>
      <c r="N25" s="1"/>
      <c r="O25" s="1"/>
      <c r="P25" s="1"/>
      <c r="Q25" s="1"/>
      <c r="S25" s="63">
        <v>5</v>
      </c>
    </row>
    <row r="26" spans="2:30" ht="15">
      <c r="B26" s="125"/>
      <c r="C26" s="215"/>
      <c r="D26" s="215"/>
      <c r="E26" s="82"/>
      <c r="F26" s="82"/>
      <c r="G26" s="83"/>
      <c r="H26" s="84"/>
      <c r="I26" s="84"/>
      <c r="J26" s="85"/>
      <c r="K26" s="82"/>
      <c r="M26" s="1"/>
      <c r="N26" s="1"/>
      <c r="O26" s="1"/>
      <c r="P26" s="1"/>
      <c r="Q26" s="1"/>
      <c r="S26" s="63">
        <v>6</v>
      </c>
    </row>
    <row r="27" spans="2:30">
      <c r="B27" s="125" t="e">
        <f>#REF! &amp;"_"&amp;#REF!</f>
        <v>#REF!</v>
      </c>
      <c r="C27" s="214"/>
      <c r="D27" s="214"/>
      <c r="E27" s="82"/>
      <c r="F27" s="82"/>
      <c r="G27" s="83"/>
      <c r="H27" s="84"/>
      <c r="I27" s="84"/>
      <c r="J27" s="85"/>
      <c r="K27" s="82" t="str">
        <f t="shared" ref="K27:K75" si="1">IF(H27="","",$E$6)</f>
        <v/>
      </c>
      <c r="M27" s="1"/>
      <c r="N27" s="1"/>
      <c r="O27" s="1"/>
      <c r="P27" s="1"/>
      <c r="Q27" s="1"/>
      <c r="S27" s="63">
        <v>466</v>
      </c>
    </row>
    <row r="28" spans="2:30">
      <c r="B28" s="125" t="e">
        <f>#REF! &amp;"_"&amp;S27</f>
        <v>#REF!</v>
      </c>
      <c r="C28" s="214"/>
      <c r="D28" s="214"/>
      <c r="E28" s="82"/>
      <c r="F28" s="82"/>
      <c r="G28" s="83"/>
      <c r="H28" s="84"/>
      <c r="I28" s="84"/>
      <c r="J28" s="85"/>
      <c r="K28" s="82" t="str">
        <f t="shared" si="1"/>
        <v/>
      </c>
      <c r="M28" s="1"/>
      <c r="N28" s="1"/>
      <c r="O28" s="1"/>
      <c r="P28" s="1"/>
      <c r="Q28" s="1"/>
      <c r="S28" s="63">
        <v>467</v>
      </c>
    </row>
    <row r="29" spans="2:30">
      <c r="B29" s="125" t="e">
        <f>#REF! &amp;"_"&amp;S28</f>
        <v>#REF!</v>
      </c>
      <c r="C29" s="214"/>
      <c r="D29" s="214"/>
      <c r="E29" s="82"/>
      <c r="F29" s="82"/>
      <c r="G29" s="83"/>
      <c r="H29" s="84"/>
      <c r="I29" s="84"/>
      <c r="J29" s="85"/>
      <c r="K29" s="82" t="str">
        <f t="shared" si="1"/>
        <v/>
      </c>
      <c r="M29" s="1"/>
      <c r="N29" s="1"/>
      <c r="O29" s="1"/>
      <c r="P29" s="1"/>
      <c r="Q29" s="1"/>
      <c r="S29" s="63">
        <v>468</v>
      </c>
    </row>
    <row r="30" spans="2:30">
      <c r="B30" s="125" t="e">
        <f>#REF! &amp;"_"&amp;S29</f>
        <v>#REF!</v>
      </c>
      <c r="C30" s="214"/>
      <c r="D30" s="214"/>
      <c r="E30" s="82"/>
      <c r="F30" s="82"/>
      <c r="G30" s="83"/>
      <c r="H30" s="84"/>
      <c r="I30" s="84"/>
      <c r="J30" s="85"/>
      <c r="K30" s="82" t="str">
        <f t="shared" si="1"/>
        <v/>
      </c>
      <c r="M30" s="1"/>
      <c r="N30" s="1"/>
      <c r="O30" s="1"/>
      <c r="P30" s="1"/>
      <c r="Q30" s="1"/>
      <c r="S30" s="63">
        <v>469</v>
      </c>
    </row>
    <row r="31" spans="2:30">
      <c r="B31" s="125" t="e">
        <f>#REF! &amp;"_"&amp;S30</f>
        <v>#REF!</v>
      </c>
      <c r="C31" s="214"/>
      <c r="D31" s="214"/>
      <c r="E31" s="82"/>
      <c r="F31" s="82"/>
      <c r="G31" s="83"/>
      <c r="H31" s="84"/>
      <c r="I31" s="84"/>
      <c r="J31" s="85"/>
      <c r="K31" s="82" t="str">
        <f t="shared" si="1"/>
        <v/>
      </c>
      <c r="M31" s="1"/>
      <c r="N31" s="1"/>
      <c r="O31" s="1"/>
      <c r="P31" s="1"/>
      <c r="Q31" s="1"/>
      <c r="S31" s="63">
        <v>470</v>
      </c>
    </row>
    <row r="32" spans="2:30">
      <c r="B32" s="125" t="e">
        <f>#REF! &amp;"_"&amp;S31</f>
        <v>#REF!</v>
      </c>
      <c r="C32" s="214"/>
      <c r="D32" s="214"/>
      <c r="E32" s="82"/>
      <c r="F32" s="82"/>
      <c r="G32" s="83"/>
      <c r="H32" s="84"/>
      <c r="I32" s="84"/>
      <c r="J32" s="85"/>
      <c r="K32" s="82" t="str">
        <f t="shared" si="1"/>
        <v/>
      </c>
      <c r="M32" s="1"/>
      <c r="N32" s="1"/>
      <c r="O32" s="1"/>
      <c r="P32" s="1"/>
      <c r="Q32" s="1"/>
      <c r="S32" s="63">
        <v>471</v>
      </c>
    </row>
    <row r="33" spans="2:19">
      <c r="B33" s="125" t="e">
        <f>#REF! &amp;"_"&amp;S32</f>
        <v>#REF!</v>
      </c>
      <c r="C33" s="214"/>
      <c r="D33" s="214"/>
      <c r="E33" s="82"/>
      <c r="F33" s="82"/>
      <c r="G33" s="83"/>
      <c r="H33" s="84"/>
      <c r="I33" s="84"/>
      <c r="J33" s="85"/>
      <c r="K33" s="82" t="str">
        <f t="shared" si="1"/>
        <v/>
      </c>
      <c r="M33" s="1"/>
      <c r="N33" s="1"/>
      <c r="O33" s="1"/>
      <c r="P33" s="1"/>
      <c r="Q33" s="1"/>
      <c r="S33" s="63">
        <v>472</v>
      </c>
    </row>
    <row r="34" spans="2:19">
      <c r="B34" s="125" t="e">
        <f>#REF! &amp;"_"&amp;S33</f>
        <v>#REF!</v>
      </c>
      <c r="C34" s="214"/>
      <c r="D34" s="214"/>
      <c r="E34" s="82"/>
      <c r="F34" s="82"/>
      <c r="G34" s="83"/>
      <c r="H34" s="84"/>
      <c r="I34" s="84"/>
      <c r="J34" s="85"/>
      <c r="K34" s="82" t="str">
        <f t="shared" si="1"/>
        <v/>
      </c>
      <c r="M34" s="1"/>
      <c r="N34" s="1"/>
      <c r="O34" s="1"/>
      <c r="P34" s="1"/>
      <c r="Q34" s="1"/>
      <c r="S34" s="63">
        <v>473</v>
      </c>
    </row>
    <row r="35" spans="2:19">
      <c r="B35" s="125" t="e">
        <f>#REF! &amp;"_"&amp;S34</f>
        <v>#REF!</v>
      </c>
      <c r="C35" s="214"/>
      <c r="D35" s="214"/>
      <c r="E35" s="82"/>
      <c r="F35" s="82"/>
      <c r="G35" s="83"/>
      <c r="H35" s="84"/>
      <c r="I35" s="84"/>
      <c r="J35" s="85"/>
      <c r="K35" s="82" t="str">
        <f t="shared" si="1"/>
        <v/>
      </c>
      <c r="M35" s="1"/>
      <c r="N35" s="1"/>
      <c r="O35" s="1"/>
      <c r="P35" s="1"/>
      <c r="Q35" s="1"/>
      <c r="S35" s="63">
        <v>474</v>
      </c>
    </row>
    <row r="36" spans="2:19">
      <c r="B36" s="125" t="e">
        <f>#REF! &amp;"_"&amp;S35</f>
        <v>#REF!</v>
      </c>
      <c r="C36" s="214"/>
      <c r="D36" s="214"/>
      <c r="E36" s="82"/>
      <c r="F36" s="82"/>
      <c r="G36" s="83"/>
      <c r="H36" s="84"/>
      <c r="I36" s="84"/>
      <c r="J36" s="85"/>
      <c r="K36" s="82" t="str">
        <f t="shared" si="1"/>
        <v/>
      </c>
      <c r="M36" s="1"/>
      <c r="N36" s="1"/>
      <c r="O36" s="1"/>
      <c r="P36" s="1"/>
      <c r="Q36" s="1"/>
      <c r="S36" s="63">
        <v>475</v>
      </c>
    </row>
    <row r="37" spans="2:19">
      <c r="B37" s="125" t="e">
        <f>#REF! &amp;"_"&amp;S36</f>
        <v>#REF!</v>
      </c>
      <c r="C37" s="214"/>
      <c r="D37" s="214"/>
      <c r="E37" s="82"/>
      <c r="F37" s="82"/>
      <c r="G37" s="83"/>
      <c r="H37" s="84"/>
      <c r="I37" s="84"/>
      <c r="J37" s="85"/>
      <c r="K37" s="82" t="str">
        <f t="shared" si="1"/>
        <v/>
      </c>
      <c r="M37" s="1"/>
      <c r="N37" s="1"/>
      <c r="O37" s="1"/>
      <c r="P37" s="1"/>
      <c r="Q37" s="1"/>
      <c r="S37" s="63">
        <v>476</v>
      </c>
    </row>
    <row r="38" spans="2:19">
      <c r="B38" s="125" t="e">
        <f>#REF! &amp;"_"&amp;S37</f>
        <v>#REF!</v>
      </c>
      <c r="C38" s="214"/>
      <c r="D38" s="214"/>
      <c r="E38" s="82"/>
      <c r="F38" s="82"/>
      <c r="G38" s="83"/>
      <c r="H38" s="84"/>
      <c r="I38" s="84"/>
      <c r="J38" s="85"/>
      <c r="K38" s="82" t="str">
        <f t="shared" si="1"/>
        <v/>
      </c>
      <c r="M38" s="1"/>
      <c r="N38" s="1"/>
      <c r="O38" s="1"/>
      <c r="P38" s="1"/>
      <c r="Q38" s="1"/>
      <c r="S38" s="63">
        <v>477</v>
      </c>
    </row>
    <row r="39" spans="2:19">
      <c r="B39" s="125" t="e">
        <f>#REF! &amp;"_"&amp;S38</f>
        <v>#REF!</v>
      </c>
      <c r="C39" s="214"/>
      <c r="D39" s="214"/>
      <c r="E39" s="82"/>
      <c r="F39" s="82"/>
      <c r="G39" s="83"/>
      <c r="H39" s="84"/>
      <c r="I39" s="84"/>
      <c r="J39" s="85"/>
      <c r="K39" s="82" t="str">
        <f t="shared" si="1"/>
        <v/>
      </c>
      <c r="M39" s="1"/>
      <c r="N39" s="1"/>
      <c r="O39" s="1"/>
      <c r="P39" s="1"/>
      <c r="Q39" s="1"/>
      <c r="S39" s="63">
        <v>478</v>
      </c>
    </row>
    <row r="40" spans="2:19">
      <c r="B40" s="125" t="e">
        <f>#REF! &amp;"_"&amp;S39</f>
        <v>#REF!</v>
      </c>
      <c r="C40" s="214"/>
      <c r="D40" s="214"/>
      <c r="E40" s="82"/>
      <c r="F40" s="82"/>
      <c r="G40" s="83"/>
      <c r="H40" s="84"/>
      <c r="I40" s="84"/>
      <c r="J40" s="85"/>
      <c r="K40" s="82" t="str">
        <f t="shared" si="1"/>
        <v/>
      </c>
      <c r="M40" s="1"/>
      <c r="N40" s="1"/>
      <c r="O40" s="1"/>
      <c r="P40" s="1"/>
      <c r="Q40" s="1"/>
      <c r="S40" s="63">
        <v>479</v>
      </c>
    </row>
    <row r="41" spans="2:19">
      <c r="B41" s="125" t="e">
        <f>#REF! &amp;"_"&amp;S40</f>
        <v>#REF!</v>
      </c>
      <c r="C41" s="214"/>
      <c r="D41" s="214"/>
      <c r="E41" s="82"/>
      <c r="F41" s="82"/>
      <c r="G41" s="83"/>
      <c r="H41" s="84"/>
      <c r="I41" s="84"/>
      <c r="J41" s="85"/>
      <c r="K41" s="82" t="str">
        <f t="shared" si="1"/>
        <v/>
      </c>
      <c r="M41" s="1"/>
      <c r="N41" s="1"/>
      <c r="O41" s="1"/>
      <c r="P41" s="1"/>
      <c r="Q41" s="1"/>
      <c r="S41" s="63">
        <v>480</v>
      </c>
    </row>
    <row r="42" spans="2:19">
      <c r="B42" s="125" t="e">
        <f>#REF! &amp;"_"&amp;S41</f>
        <v>#REF!</v>
      </c>
      <c r="C42" s="214"/>
      <c r="D42" s="214"/>
      <c r="E42" s="82"/>
      <c r="F42" s="82"/>
      <c r="G42" s="83"/>
      <c r="H42" s="84"/>
      <c r="I42" s="84"/>
      <c r="J42" s="85"/>
      <c r="K42" s="82" t="str">
        <f t="shared" si="1"/>
        <v/>
      </c>
      <c r="M42" s="1"/>
      <c r="N42" s="1"/>
      <c r="O42" s="1"/>
      <c r="P42" s="1"/>
      <c r="Q42" s="1"/>
      <c r="S42" s="63">
        <v>481</v>
      </c>
    </row>
    <row r="43" spans="2:19">
      <c r="B43" s="125" t="e">
        <f>#REF! &amp;"_"&amp;S42</f>
        <v>#REF!</v>
      </c>
      <c r="C43" s="214"/>
      <c r="D43" s="214"/>
      <c r="E43" s="82"/>
      <c r="F43" s="82"/>
      <c r="G43" s="83"/>
      <c r="H43" s="84"/>
      <c r="I43" s="84"/>
      <c r="J43" s="85"/>
      <c r="K43" s="82" t="str">
        <f t="shared" si="1"/>
        <v/>
      </c>
      <c r="M43" s="1"/>
      <c r="N43" s="1"/>
      <c r="O43" s="1"/>
      <c r="P43" s="1"/>
      <c r="Q43" s="1"/>
      <c r="S43" s="63">
        <v>482</v>
      </c>
    </row>
    <row r="44" spans="2:19">
      <c r="B44" s="125" t="e">
        <f>#REF! &amp;"_"&amp;S43</f>
        <v>#REF!</v>
      </c>
      <c r="C44" s="214"/>
      <c r="D44" s="214"/>
      <c r="E44" s="82"/>
      <c r="F44" s="82"/>
      <c r="G44" s="83"/>
      <c r="H44" s="84"/>
      <c r="I44" s="84"/>
      <c r="J44" s="85"/>
      <c r="K44" s="82" t="str">
        <f t="shared" si="1"/>
        <v/>
      </c>
      <c r="M44" s="1"/>
      <c r="N44" s="1"/>
      <c r="O44" s="1"/>
      <c r="P44" s="1"/>
      <c r="Q44" s="1"/>
      <c r="S44" s="63">
        <v>483</v>
      </c>
    </row>
    <row r="45" spans="2:19">
      <c r="B45" s="125" t="e">
        <f>#REF! &amp;"_"&amp;S44</f>
        <v>#REF!</v>
      </c>
      <c r="C45" s="214"/>
      <c r="D45" s="214"/>
      <c r="E45" s="82"/>
      <c r="F45" s="82"/>
      <c r="G45" s="83"/>
      <c r="H45" s="84"/>
      <c r="I45" s="84"/>
      <c r="J45" s="85"/>
      <c r="K45" s="82" t="str">
        <f t="shared" si="1"/>
        <v/>
      </c>
      <c r="M45" s="1"/>
      <c r="N45" s="1"/>
      <c r="O45" s="1"/>
      <c r="P45" s="1"/>
      <c r="Q45" s="1"/>
      <c r="S45" s="63">
        <v>484</v>
      </c>
    </row>
    <row r="46" spans="2:19">
      <c r="B46" s="125" t="e">
        <f>#REF! &amp;"_"&amp;S45</f>
        <v>#REF!</v>
      </c>
      <c r="C46" s="214"/>
      <c r="D46" s="214"/>
      <c r="E46" s="82"/>
      <c r="F46" s="82"/>
      <c r="G46" s="83"/>
      <c r="H46" s="84"/>
      <c r="I46" s="84"/>
      <c r="J46" s="85"/>
      <c r="K46" s="82" t="str">
        <f t="shared" si="1"/>
        <v/>
      </c>
      <c r="M46" s="1"/>
      <c r="N46" s="1"/>
      <c r="O46" s="1"/>
      <c r="P46" s="1"/>
      <c r="Q46" s="1"/>
      <c r="S46" s="63">
        <v>485</v>
      </c>
    </row>
    <row r="47" spans="2:19">
      <c r="B47" s="125" t="e">
        <f>#REF! &amp;"_"&amp;S46</f>
        <v>#REF!</v>
      </c>
      <c r="C47" s="214"/>
      <c r="D47" s="214"/>
      <c r="E47" s="82"/>
      <c r="F47" s="82"/>
      <c r="G47" s="83"/>
      <c r="H47" s="84"/>
      <c r="I47" s="84"/>
      <c r="J47" s="85"/>
      <c r="K47" s="82" t="str">
        <f t="shared" si="1"/>
        <v/>
      </c>
      <c r="M47" s="1"/>
      <c r="N47" s="1"/>
      <c r="O47" s="1"/>
      <c r="P47" s="1"/>
      <c r="Q47" s="1"/>
      <c r="S47" s="63">
        <v>486</v>
      </c>
    </row>
    <row r="48" spans="2:19">
      <c r="B48" s="125" t="e">
        <f>#REF! &amp;"_"&amp;S47</f>
        <v>#REF!</v>
      </c>
      <c r="C48" s="214"/>
      <c r="D48" s="214"/>
      <c r="E48" s="82"/>
      <c r="F48" s="82"/>
      <c r="G48" s="83"/>
      <c r="H48" s="84"/>
      <c r="I48" s="84"/>
      <c r="J48" s="85"/>
      <c r="K48" s="82" t="str">
        <f t="shared" si="1"/>
        <v/>
      </c>
      <c r="M48" s="1"/>
      <c r="N48" s="1"/>
      <c r="O48" s="1"/>
      <c r="P48" s="1"/>
      <c r="Q48" s="1"/>
      <c r="S48" s="63">
        <v>487</v>
      </c>
    </row>
    <row r="49" spans="2:19">
      <c r="B49" s="125" t="e">
        <f>#REF! &amp;"_"&amp;S48</f>
        <v>#REF!</v>
      </c>
      <c r="C49" s="214"/>
      <c r="D49" s="214"/>
      <c r="E49" s="82"/>
      <c r="F49" s="82"/>
      <c r="G49" s="83"/>
      <c r="H49" s="84"/>
      <c r="I49" s="84"/>
      <c r="J49" s="85"/>
      <c r="K49" s="82" t="str">
        <f t="shared" si="1"/>
        <v/>
      </c>
      <c r="M49" s="1"/>
      <c r="N49" s="1"/>
      <c r="O49" s="1"/>
      <c r="P49" s="1"/>
      <c r="Q49" s="1"/>
      <c r="S49" s="63">
        <v>488</v>
      </c>
    </row>
    <row r="50" spans="2:19">
      <c r="B50" s="125" t="e">
        <f>#REF! &amp;"_"&amp;S49</f>
        <v>#REF!</v>
      </c>
      <c r="C50" s="214"/>
      <c r="D50" s="214"/>
      <c r="E50" s="82"/>
      <c r="F50" s="82"/>
      <c r="G50" s="83"/>
      <c r="H50" s="84"/>
      <c r="I50" s="84"/>
      <c r="J50" s="85"/>
      <c r="K50" s="82" t="str">
        <f t="shared" si="1"/>
        <v/>
      </c>
      <c r="M50" s="1"/>
      <c r="N50" s="1"/>
      <c r="O50" s="1"/>
      <c r="P50" s="1"/>
      <c r="Q50" s="1"/>
      <c r="S50" s="63">
        <v>489</v>
      </c>
    </row>
    <row r="51" spans="2:19">
      <c r="B51" s="125" t="e">
        <f>#REF! &amp;"_"&amp;S50</f>
        <v>#REF!</v>
      </c>
      <c r="C51" s="214"/>
      <c r="D51" s="214"/>
      <c r="E51" s="82"/>
      <c r="F51" s="82"/>
      <c r="G51" s="83"/>
      <c r="H51" s="84"/>
      <c r="I51" s="84"/>
      <c r="J51" s="85"/>
      <c r="K51" s="82" t="str">
        <f t="shared" si="1"/>
        <v/>
      </c>
      <c r="M51" s="1"/>
      <c r="N51" s="1"/>
      <c r="O51" s="1"/>
      <c r="P51" s="1"/>
      <c r="Q51" s="1"/>
      <c r="S51" s="63">
        <v>490</v>
      </c>
    </row>
    <row r="52" spans="2:19">
      <c r="B52" s="125" t="e">
        <f>#REF! &amp;"_"&amp;S51</f>
        <v>#REF!</v>
      </c>
      <c r="C52" s="214"/>
      <c r="D52" s="214"/>
      <c r="E52" s="82"/>
      <c r="F52" s="82"/>
      <c r="G52" s="83"/>
      <c r="H52" s="84"/>
      <c r="I52" s="84"/>
      <c r="J52" s="85"/>
      <c r="K52" s="82" t="str">
        <f t="shared" si="1"/>
        <v/>
      </c>
      <c r="M52" s="1"/>
      <c r="N52" s="1"/>
      <c r="O52" s="1"/>
      <c r="P52" s="1"/>
      <c r="Q52" s="1"/>
      <c r="S52" s="63">
        <v>491</v>
      </c>
    </row>
    <row r="53" spans="2:19">
      <c r="B53" s="125" t="e">
        <f>#REF! &amp;"_"&amp;S52</f>
        <v>#REF!</v>
      </c>
      <c r="C53" s="214"/>
      <c r="D53" s="214"/>
      <c r="E53" s="82"/>
      <c r="F53" s="82"/>
      <c r="G53" s="83"/>
      <c r="H53" s="84"/>
      <c r="I53" s="84"/>
      <c r="J53" s="85"/>
      <c r="K53" s="82" t="str">
        <f t="shared" si="1"/>
        <v/>
      </c>
      <c r="M53" s="1"/>
      <c r="N53" s="1"/>
      <c r="O53" s="1"/>
      <c r="P53" s="1"/>
      <c r="Q53" s="1"/>
      <c r="S53" s="63">
        <v>492</v>
      </c>
    </row>
    <row r="54" spans="2:19">
      <c r="B54" s="125" t="e">
        <f>#REF! &amp;"_"&amp;S53</f>
        <v>#REF!</v>
      </c>
      <c r="C54" s="214"/>
      <c r="D54" s="214"/>
      <c r="E54" s="82"/>
      <c r="F54" s="82"/>
      <c r="G54" s="83"/>
      <c r="H54" s="84"/>
      <c r="I54" s="84"/>
      <c r="J54" s="85"/>
      <c r="K54" s="82" t="str">
        <f t="shared" si="1"/>
        <v/>
      </c>
      <c r="M54" s="1"/>
      <c r="N54" s="1"/>
      <c r="O54" s="1"/>
      <c r="P54" s="1"/>
      <c r="Q54" s="1"/>
      <c r="S54" s="63">
        <v>493</v>
      </c>
    </row>
    <row r="55" spans="2:19">
      <c r="B55" s="125" t="e">
        <f>#REF! &amp;"_"&amp;S54</f>
        <v>#REF!</v>
      </c>
      <c r="C55" s="214"/>
      <c r="D55" s="214"/>
      <c r="E55" s="82"/>
      <c r="F55" s="82"/>
      <c r="G55" s="83"/>
      <c r="H55" s="84"/>
      <c r="I55" s="84"/>
      <c r="J55" s="85"/>
      <c r="K55" s="82" t="str">
        <f t="shared" si="1"/>
        <v/>
      </c>
      <c r="M55" s="1"/>
      <c r="N55" s="1"/>
      <c r="O55" s="1"/>
      <c r="P55" s="1"/>
      <c r="Q55" s="1"/>
      <c r="S55" s="63">
        <v>494</v>
      </c>
    </row>
    <row r="56" spans="2:19">
      <c r="B56" s="125" t="e">
        <f>#REF! &amp;"_"&amp;S55</f>
        <v>#REF!</v>
      </c>
      <c r="C56" s="214"/>
      <c r="D56" s="214"/>
      <c r="E56" s="82"/>
      <c r="F56" s="82"/>
      <c r="G56" s="83"/>
      <c r="H56" s="84"/>
      <c r="I56" s="84"/>
      <c r="J56" s="85"/>
      <c r="K56" s="82" t="str">
        <f t="shared" si="1"/>
        <v/>
      </c>
      <c r="M56" s="1"/>
      <c r="N56" s="1"/>
      <c r="O56" s="1"/>
      <c r="P56" s="1"/>
      <c r="Q56" s="1"/>
      <c r="S56" s="63">
        <v>495</v>
      </c>
    </row>
    <row r="57" spans="2:19">
      <c r="B57" s="125" t="e">
        <f>#REF! &amp;"_"&amp;S56</f>
        <v>#REF!</v>
      </c>
      <c r="C57" s="214"/>
      <c r="D57" s="214"/>
      <c r="E57" s="82"/>
      <c r="F57" s="82"/>
      <c r="G57" s="83"/>
      <c r="H57" s="84"/>
      <c r="I57" s="84"/>
      <c r="J57" s="85"/>
      <c r="K57" s="82" t="str">
        <f t="shared" si="1"/>
        <v/>
      </c>
      <c r="M57" s="1"/>
      <c r="N57" s="1"/>
      <c r="O57" s="1"/>
      <c r="P57" s="1"/>
      <c r="Q57" s="1"/>
      <c r="S57" s="63">
        <v>496</v>
      </c>
    </row>
    <row r="58" spans="2:19">
      <c r="B58" s="125" t="e">
        <f>#REF! &amp;"_"&amp;S57</f>
        <v>#REF!</v>
      </c>
      <c r="C58" s="214"/>
      <c r="D58" s="214"/>
      <c r="E58" s="82"/>
      <c r="F58" s="82"/>
      <c r="G58" s="83"/>
      <c r="H58" s="84"/>
      <c r="I58" s="84"/>
      <c r="J58" s="85"/>
      <c r="K58" s="82" t="str">
        <f t="shared" si="1"/>
        <v/>
      </c>
      <c r="M58" s="1"/>
      <c r="N58" s="1"/>
      <c r="O58" s="1"/>
      <c r="P58" s="1"/>
      <c r="Q58" s="1"/>
      <c r="S58" s="63">
        <v>497</v>
      </c>
    </row>
    <row r="59" spans="2:19">
      <c r="B59" s="125" t="e">
        <f>#REF! &amp;"_"&amp;S58</f>
        <v>#REF!</v>
      </c>
      <c r="C59" s="214"/>
      <c r="D59" s="214"/>
      <c r="E59" s="82"/>
      <c r="F59" s="82"/>
      <c r="G59" s="83"/>
      <c r="H59" s="84"/>
      <c r="I59" s="84"/>
      <c r="J59" s="85"/>
      <c r="K59" s="82" t="str">
        <f t="shared" si="1"/>
        <v/>
      </c>
      <c r="M59" s="1"/>
      <c r="N59" s="1"/>
      <c r="O59" s="1"/>
      <c r="P59" s="1"/>
      <c r="Q59" s="1"/>
      <c r="S59" s="63">
        <v>498</v>
      </c>
    </row>
    <row r="60" spans="2:19">
      <c r="B60" s="125" t="e">
        <f>#REF! &amp;"_"&amp;S59</f>
        <v>#REF!</v>
      </c>
      <c r="C60" s="214"/>
      <c r="D60" s="214"/>
      <c r="E60" s="82"/>
      <c r="F60" s="82"/>
      <c r="G60" s="83"/>
      <c r="H60" s="84"/>
      <c r="I60" s="84"/>
      <c r="J60" s="85"/>
      <c r="K60" s="82" t="str">
        <f t="shared" si="1"/>
        <v/>
      </c>
      <c r="M60" s="1"/>
      <c r="N60" s="1"/>
      <c r="O60" s="1"/>
      <c r="P60" s="1"/>
      <c r="Q60" s="1"/>
      <c r="S60" s="63">
        <v>499</v>
      </c>
    </row>
    <row r="61" spans="2:19">
      <c r="B61" s="125" t="e">
        <f>#REF! &amp;"_"&amp;S60</f>
        <v>#REF!</v>
      </c>
      <c r="C61" s="214"/>
      <c r="D61" s="214"/>
      <c r="E61" s="82"/>
      <c r="F61" s="82"/>
      <c r="G61" s="83"/>
      <c r="H61" s="84"/>
      <c r="I61" s="84"/>
      <c r="J61" s="85"/>
      <c r="K61" s="82" t="str">
        <f t="shared" si="1"/>
        <v/>
      </c>
      <c r="M61" s="1"/>
      <c r="N61" s="1"/>
      <c r="O61" s="1"/>
      <c r="P61" s="1"/>
      <c r="Q61" s="1"/>
      <c r="S61" s="63">
        <v>500</v>
      </c>
    </row>
    <row r="62" spans="2:19">
      <c r="B62" s="125" t="e">
        <f>#REF! &amp;"_"&amp;S61</f>
        <v>#REF!</v>
      </c>
      <c r="C62" s="214"/>
      <c r="D62" s="214"/>
      <c r="E62" s="82"/>
      <c r="F62" s="82"/>
      <c r="G62" s="83"/>
      <c r="H62" s="84"/>
      <c r="I62" s="84"/>
      <c r="J62" s="85"/>
      <c r="K62" s="82" t="str">
        <f t="shared" si="1"/>
        <v/>
      </c>
      <c r="M62" s="1"/>
      <c r="N62" s="1"/>
      <c r="O62" s="1"/>
      <c r="P62" s="1"/>
      <c r="Q62" s="1"/>
      <c r="S62" s="63">
        <v>501</v>
      </c>
    </row>
    <row r="63" spans="2:19">
      <c r="B63" s="125" t="e">
        <f>#REF! &amp;"_"&amp;S62</f>
        <v>#REF!</v>
      </c>
      <c r="C63" s="214"/>
      <c r="D63" s="214"/>
      <c r="E63" s="82"/>
      <c r="F63" s="82"/>
      <c r="G63" s="83"/>
      <c r="H63" s="84"/>
      <c r="I63" s="84"/>
      <c r="J63" s="85"/>
      <c r="K63" s="82" t="str">
        <f t="shared" si="1"/>
        <v/>
      </c>
      <c r="M63" s="1"/>
      <c r="N63" s="1"/>
      <c r="O63" s="1"/>
      <c r="P63" s="1"/>
      <c r="Q63" s="1"/>
      <c r="S63" s="63">
        <v>502</v>
      </c>
    </row>
    <row r="64" spans="2:19">
      <c r="B64" s="125" t="e">
        <f>#REF! &amp;"_"&amp;S63</f>
        <v>#REF!</v>
      </c>
      <c r="C64" s="214"/>
      <c r="D64" s="214"/>
      <c r="E64" s="82"/>
      <c r="F64" s="82"/>
      <c r="G64" s="83"/>
      <c r="H64" s="84"/>
      <c r="I64" s="84"/>
      <c r="J64" s="85"/>
      <c r="K64" s="82" t="str">
        <f t="shared" si="1"/>
        <v/>
      </c>
      <c r="M64" s="1"/>
      <c r="N64" s="1"/>
      <c r="O64" s="1"/>
      <c r="P64" s="1"/>
      <c r="Q64" s="1"/>
      <c r="S64" s="63">
        <v>503</v>
      </c>
    </row>
    <row r="65" spans="2:19">
      <c r="B65" s="125" t="e">
        <f>#REF! &amp;"_"&amp;S64</f>
        <v>#REF!</v>
      </c>
      <c r="C65" s="214"/>
      <c r="D65" s="214"/>
      <c r="E65" s="82"/>
      <c r="F65" s="82"/>
      <c r="G65" s="83"/>
      <c r="H65" s="84"/>
      <c r="I65" s="84"/>
      <c r="J65" s="85"/>
      <c r="K65" s="82" t="str">
        <f t="shared" si="1"/>
        <v/>
      </c>
      <c r="M65" s="1"/>
      <c r="N65" s="1"/>
      <c r="O65" s="1"/>
      <c r="P65" s="1"/>
      <c r="Q65" s="1"/>
      <c r="S65" s="63">
        <v>504</v>
      </c>
    </row>
    <row r="66" spans="2:19">
      <c r="B66" s="125" t="e">
        <f>#REF! &amp;"_"&amp;S65</f>
        <v>#REF!</v>
      </c>
      <c r="C66" s="214"/>
      <c r="D66" s="214"/>
      <c r="E66" s="82"/>
      <c r="F66" s="82"/>
      <c r="G66" s="83"/>
      <c r="H66" s="84"/>
      <c r="I66" s="84"/>
      <c r="J66" s="85"/>
      <c r="K66" s="82" t="str">
        <f t="shared" si="1"/>
        <v/>
      </c>
      <c r="M66" s="1"/>
      <c r="N66" s="1"/>
      <c r="O66" s="1"/>
      <c r="P66" s="1"/>
      <c r="Q66" s="1"/>
      <c r="S66" s="63">
        <v>505</v>
      </c>
    </row>
    <row r="67" spans="2:19">
      <c r="B67" s="125" t="e">
        <f>#REF! &amp;"_"&amp;S66</f>
        <v>#REF!</v>
      </c>
      <c r="C67" s="214"/>
      <c r="D67" s="214"/>
      <c r="E67" s="82"/>
      <c r="F67" s="82"/>
      <c r="G67" s="83"/>
      <c r="H67" s="84"/>
      <c r="I67" s="84"/>
      <c r="J67" s="85"/>
      <c r="K67" s="82" t="str">
        <f t="shared" si="1"/>
        <v/>
      </c>
      <c r="M67" s="1"/>
      <c r="N67" s="1"/>
      <c r="O67" s="1"/>
      <c r="P67" s="1"/>
      <c r="Q67" s="1"/>
      <c r="S67" s="63">
        <v>506</v>
      </c>
    </row>
    <row r="68" spans="2:19">
      <c r="B68" s="125" t="e">
        <f>#REF! &amp;"_"&amp;S67</f>
        <v>#REF!</v>
      </c>
      <c r="C68" s="214"/>
      <c r="D68" s="214"/>
      <c r="E68" s="82"/>
      <c r="F68" s="82"/>
      <c r="G68" s="83"/>
      <c r="H68" s="84"/>
      <c r="I68" s="84"/>
      <c r="J68" s="85"/>
      <c r="K68" s="82" t="str">
        <f t="shared" si="1"/>
        <v/>
      </c>
      <c r="M68" s="1"/>
      <c r="N68" s="1"/>
      <c r="O68" s="1"/>
      <c r="P68" s="1"/>
      <c r="Q68" s="1"/>
      <c r="S68" s="63">
        <v>507</v>
      </c>
    </row>
    <row r="69" spans="2:19">
      <c r="B69" s="125" t="e">
        <f>#REF! &amp;"_"&amp;S68</f>
        <v>#REF!</v>
      </c>
      <c r="C69" s="214"/>
      <c r="D69" s="214"/>
      <c r="E69" s="82"/>
      <c r="F69" s="82"/>
      <c r="G69" s="83"/>
      <c r="H69" s="84"/>
      <c r="I69" s="84"/>
      <c r="J69" s="85"/>
      <c r="K69" s="82" t="str">
        <f t="shared" si="1"/>
        <v/>
      </c>
      <c r="M69" s="1"/>
      <c r="N69" s="1"/>
      <c r="O69" s="1"/>
      <c r="P69" s="1"/>
      <c r="Q69" s="1"/>
      <c r="S69" s="63">
        <v>508</v>
      </c>
    </row>
    <row r="70" spans="2:19">
      <c r="B70" s="125" t="e">
        <f>#REF! &amp;"_"&amp;S69</f>
        <v>#REF!</v>
      </c>
      <c r="C70" s="214"/>
      <c r="D70" s="214"/>
      <c r="E70" s="82"/>
      <c r="F70" s="82"/>
      <c r="G70" s="83"/>
      <c r="H70" s="84"/>
      <c r="I70" s="84"/>
      <c r="J70" s="85"/>
      <c r="K70" s="82" t="str">
        <f t="shared" si="1"/>
        <v/>
      </c>
      <c r="M70" s="1"/>
      <c r="N70" s="1"/>
      <c r="O70" s="1"/>
      <c r="P70" s="1"/>
      <c r="Q70" s="1"/>
      <c r="S70" s="63">
        <v>509</v>
      </c>
    </row>
    <row r="71" spans="2:19">
      <c r="B71" s="125" t="e">
        <f>#REF! &amp;"_"&amp;S70</f>
        <v>#REF!</v>
      </c>
      <c r="C71" s="214"/>
      <c r="D71" s="214"/>
      <c r="E71" s="82"/>
      <c r="F71" s="82"/>
      <c r="G71" s="83"/>
      <c r="H71" s="84"/>
      <c r="I71" s="84"/>
      <c r="J71" s="85"/>
      <c r="K71" s="82" t="str">
        <f t="shared" si="1"/>
        <v/>
      </c>
      <c r="M71" s="1"/>
      <c r="N71" s="1"/>
      <c r="O71" s="1"/>
      <c r="P71" s="1"/>
      <c r="Q71" s="1"/>
      <c r="S71" s="63">
        <v>510</v>
      </c>
    </row>
    <row r="72" spans="2:19">
      <c r="B72" s="125" t="e">
        <f>#REF! &amp;"_"&amp;S71</f>
        <v>#REF!</v>
      </c>
      <c r="C72" s="214"/>
      <c r="D72" s="214"/>
      <c r="E72" s="82"/>
      <c r="F72" s="82"/>
      <c r="G72" s="83"/>
      <c r="H72" s="84"/>
      <c r="I72" s="84"/>
      <c r="J72" s="85"/>
      <c r="K72" s="82" t="str">
        <f t="shared" si="1"/>
        <v/>
      </c>
      <c r="M72" s="1"/>
      <c r="N72" s="1"/>
      <c r="O72" s="1"/>
      <c r="P72" s="1"/>
      <c r="Q72" s="1"/>
      <c r="S72" s="63">
        <v>511</v>
      </c>
    </row>
    <row r="73" spans="2:19">
      <c r="B73" s="125" t="e">
        <f>#REF! &amp;"_"&amp;S72</f>
        <v>#REF!</v>
      </c>
      <c r="C73" s="214"/>
      <c r="D73" s="214"/>
      <c r="E73" s="82"/>
      <c r="F73" s="82"/>
      <c r="G73" s="83"/>
      <c r="H73" s="84"/>
      <c r="I73" s="84"/>
      <c r="J73" s="85"/>
      <c r="K73" s="82" t="str">
        <f t="shared" si="1"/>
        <v/>
      </c>
      <c r="M73" s="1"/>
      <c r="N73" s="1"/>
      <c r="O73" s="1"/>
      <c r="P73" s="1"/>
      <c r="Q73" s="1"/>
      <c r="S73" s="63">
        <v>512</v>
      </c>
    </row>
    <row r="74" spans="2:19">
      <c r="B74" s="125" t="e">
        <f>#REF! &amp;"_"&amp;S73</f>
        <v>#REF!</v>
      </c>
      <c r="C74" s="214"/>
      <c r="D74" s="214"/>
      <c r="E74" s="82"/>
      <c r="F74" s="82"/>
      <c r="G74" s="83"/>
      <c r="H74" s="84"/>
      <c r="I74" s="84"/>
      <c r="J74" s="85"/>
      <c r="K74" s="82" t="str">
        <f t="shared" si="1"/>
        <v/>
      </c>
      <c r="M74" s="1"/>
      <c r="N74" s="1"/>
      <c r="O74" s="1"/>
      <c r="P74" s="1"/>
      <c r="Q74" s="1"/>
      <c r="S74" s="63">
        <v>513</v>
      </c>
    </row>
    <row r="75" spans="2:19">
      <c r="B75" s="125" t="e">
        <f>#REF! &amp;"_"&amp;S74</f>
        <v>#REF!</v>
      </c>
      <c r="C75" s="214"/>
      <c r="D75" s="214"/>
      <c r="E75" s="82"/>
      <c r="F75" s="82"/>
      <c r="G75" s="83"/>
      <c r="H75" s="84"/>
      <c r="I75" s="84"/>
      <c r="J75" s="85"/>
      <c r="K75" s="82" t="str">
        <f t="shared" si="1"/>
        <v/>
      </c>
      <c r="M75" s="1"/>
      <c r="N75" s="1"/>
      <c r="O75" s="1"/>
      <c r="P75" s="1"/>
      <c r="Q75" s="1"/>
      <c r="S75" s="63">
        <v>514</v>
      </c>
    </row>
    <row r="76" spans="2:19">
      <c r="B76" s="125" t="e">
        <f>#REF! &amp;"_"&amp;S75</f>
        <v>#REF!</v>
      </c>
      <c r="C76" s="214"/>
      <c r="D76" s="214"/>
      <c r="E76" s="82"/>
      <c r="F76" s="82"/>
      <c r="G76" s="83"/>
      <c r="H76" s="84"/>
      <c r="I76" s="84"/>
      <c r="J76" s="85"/>
      <c r="K76" s="82" t="str">
        <f t="shared" ref="K76:K139" si="2">IF(H76="","",$E$6)</f>
        <v/>
      </c>
      <c r="M76" s="1"/>
      <c r="N76" s="1"/>
      <c r="O76" s="1"/>
      <c r="P76" s="1"/>
      <c r="Q76" s="1"/>
      <c r="S76" s="63">
        <v>515</v>
      </c>
    </row>
    <row r="77" spans="2:19">
      <c r="B77" s="125" t="e">
        <f>#REF! &amp;"_"&amp;S76</f>
        <v>#REF!</v>
      </c>
      <c r="C77" s="214"/>
      <c r="D77" s="214"/>
      <c r="E77" s="82"/>
      <c r="F77" s="82"/>
      <c r="G77" s="83"/>
      <c r="H77" s="84"/>
      <c r="I77" s="84"/>
      <c r="J77" s="85"/>
      <c r="K77" s="82" t="str">
        <f t="shared" si="2"/>
        <v/>
      </c>
      <c r="M77" s="1"/>
      <c r="N77" s="1"/>
      <c r="O77" s="1"/>
      <c r="P77" s="1"/>
      <c r="Q77" s="1"/>
      <c r="S77" s="63">
        <v>516</v>
      </c>
    </row>
    <row r="78" spans="2:19">
      <c r="B78" s="125" t="e">
        <f>#REF! &amp;"_"&amp;S77</f>
        <v>#REF!</v>
      </c>
      <c r="C78" s="214"/>
      <c r="D78" s="214"/>
      <c r="E78" s="82"/>
      <c r="F78" s="82"/>
      <c r="G78" s="83"/>
      <c r="H78" s="84"/>
      <c r="I78" s="84"/>
      <c r="J78" s="85"/>
      <c r="K78" s="82" t="str">
        <f t="shared" si="2"/>
        <v/>
      </c>
      <c r="M78" s="1"/>
      <c r="N78" s="1"/>
      <c r="O78" s="1"/>
      <c r="P78" s="1"/>
      <c r="Q78" s="1"/>
      <c r="S78" s="63">
        <v>517</v>
      </c>
    </row>
    <row r="79" spans="2:19">
      <c r="B79" s="125" t="e">
        <f>#REF! &amp;"_"&amp;S78</f>
        <v>#REF!</v>
      </c>
      <c r="C79" s="214"/>
      <c r="D79" s="214"/>
      <c r="E79" s="82"/>
      <c r="F79" s="82"/>
      <c r="G79" s="83"/>
      <c r="H79" s="84"/>
      <c r="I79" s="84"/>
      <c r="J79" s="85"/>
      <c r="K79" s="82" t="str">
        <f t="shared" si="2"/>
        <v/>
      </c>
      <c r="M79" s="1"/>
      <c r="N79" s="1"/>
      <c r="O79" s="1"/>
      <c r="P79" s="1"/>
      <c r="Q79" s="1"/>
      <c r="S79" s="63">
        <v>518</v>
      </c>
    </row>
    <row r="80" spans="2:19">
      <c r="B80" s="125" t="e">
        <f>#REF! &amp;"_"&amp;S79</f>
        <v>#REF!</v>
      </c>
      <c r="C80" s="214"/>
      <c r="D80" s="214"/>
      <c r="E80" s="82"/>
      <c r="F80" s="82"/>
      <c r="G80" s="83"/>
      <c r="H80" s="84"/>
      <c r="I80" s="84"/>
      <c r="J80" s="85"/>
      <c r="K80" s="82" t="str">
        <f t="shared" si="2"/>
        <v/>
      </c>
      <c r="M80" s="1"/>
      <c r="N80" s="1"/>
      <c r="O80" s="1"/>
      <c r="P80" s="1"/>
      <c r="Q80" s="1"/>
      <c r="S80" s="63">
        <v>519</v>
      </c>
    </row>
    <row r="81" spans="2:19">
      <c r="B81" s="125" t="e">
        <f>#REF! &amp;"_"&amp;S80</f>
        <v>#REF!</v>
      </c>
      <c r="C81" s="214"/>
      <c r="D81" s="214"/>
      <c r="E81" s="82"/>
      <c r="F81" s="82"/>
      <c r="G81" s="83"/>
      <c r="H81" s="84"/>
      <c r="I81" s="84"/>
      <c r="J81" s="85"/>
      <c r="K81" s="82" t="str">
        <f t="shared" si="2"/>
        <v/>
      </c>
      <c r="M81" s="1"/>
      <c r="N81" s="1"/>
      <c r="O81" s="1"/>
      <c r="P81" s="1"/>
      <c r="Q81" s="1"/>
      <c r="S81" s="63">
        <v>520</v>
      </c>
    </row>
    <row r="82" spans="2:19">
      <c r="B82" s="125" t="e">
        <f>#REF! &amp;"_"&amp;S81</f>
        <v>#REF!</v>
      </c>
      <c r="C82" s="214"/>
      <c r="D82" s="214"/>
      <c r="E82" s="82"/>
      <c r="F82" s="82"/>
      <c r="G82" s="83"/>
      <c r="H82" s="84"/>
      <c r="I82" s="84"/>
      <c r="J82" s="85"/>
      <c r="K82" s="82" t="str">
        <f t="shared" si="2"/>
        <v/>
      </c>
      <c r="M82" s="1"/>
      <c r="N82" s="1"/>
      <c r="O82" s="1"/>
      <c r="P82" s="1"/>
      <c r="Q82" s="1"/>
      <c r="S82" s="63">
        <v>521</v>
      </c>
    </row>
    <row r="83" spans="2:19">
      <c r="B83" s="125" t="e">
        <f>#REF! &amp;"_"&amp;S82</f>
        <v>#REF!</v>
      </c>
      <c r="C83" s="214"/>
      <c r="D83" s="214"/>
      <c r="E83" s="82"/>
      <c r="F83" s="82"/>
      <c r="G83" s="83"/>
      <c r="H83" s="84"/>
      <c r="I83" s="84"/>
      <c r="J83" s="85"/>
      <c r="K83" s="82" t="str">
        <f t="shared" si="2"/>
        <v/>
      </c>
      <c r="M83" s="1"/>
      <c r="N83" s="1"/>
      <c r="O83" s="1"/>
      <c r="P83" s="1"/>
      <c r="Q83" s="1"/>
      <c r="S83" s="63">
        <v>522</v>
      </c>
    </row>
    <row r="84" spans="2:19">
      <c r="B84" s="125" t="e">
        <f>#REF! &amp;"_"&amp;S83</f>
        <v>#REF!</v>
      </c>
      <c r="C84" s="214"/>
      <c r="D84" s="214"/>
      <c r="E84" s="82"/>
      <c r="F84" s="82"/>
      <c r="G84" s="83"/>
      <c r="H84" s="84"/>
      <c r="I84" s="84"/>
      <c r="J84" s="85"/>
      <c r="K84" s="82" t="str">
        <f t="shared" si="2"/>
        <v/>
      </c>
      <c r="M84" s="1"/>
      <c r="N84" s="1"/>
      <c r="O84" s="1"/>
      <c r="P84" s="1"/>
      <c r="Q84" s="1"/>
      <c r="S84" s="63">
        <v>523</v>
      </c>
    </row>
    <row r="85" spans="2:19">
      <c r="B85" s="125" t="e">
        <f>#REF! &amp;"_"&amp;S84</f>
        <v>#REF!</v>
      </c>
      <c r="C85" s="214"/>
      <c r="D85" s="214"/>
      <c r="E85" s="82"/>
      <c r="F85" s="82"/>
      <c r="G85" s="83"/>
      <c r="H85" s="84"/>
      <c r="I85" s="84"/>
      <c r="J85" s="85"/>
      <c r="K85" s="82" t="str">
        <f t="shared" si="2"/>
        <v/>
      </c>
      <c r="M85" s="1"/>
      <c r="N85" s="1"/>
      <c r="O85" s="1"/>
      <c r="P85" s="1"/>
      <c r="Q85" s="1"/>
      <c r="S85" s="63">
        <v>524</v>
      </c>
    </row>
    <row r="86" spans="2:19">
      <c r="B86" s="125" t="e">
        <f>#REF! &amp;"_"&amp;S85</f>
        <v>#REF!</v>
      </c>
      <c r="C86" s="214"/>
      <c r="D86" s="214"/>
      <c r="E86" s="82"/>
      <c r="F86" s="82"/>
      <c r="G86" s="83"/>
      <c r="H86" s="84"/>
      <c r="I86" s="84"/>
      <c r="J86" s="85"/>
      <c r="K86" s="82" t="str">
        <f t="shared" si="2"/>
        <v/>
      </c>
      <c r="M86" s="1"/>
      <c r="N86" s="1"/>
      <c r="O86" s="1"/>
      <c r="P86" s="1"/>
      <c r="Q86" s="1"/>
      <c r="S86" s="63">
        <v>525</v>
      </c>
    </row>
    <row r="87" spans="2:19">
      <c r="B87" s="125" t="e">
        <f>#REF! &amp;"_"&amp;S86</f>
        <v>#REF!</v>
      </c>
      <c r="C87" s="214"/>
      <c r="D87" s="214"/>
      <c r="E87" s="82"/>
      <c r="F87" s="82"/>
      <c r="G87" s="83"/>
      <c r="H87" s="84"/>
      <c r="I87" s="84"/>
      <c r="J87" s="85"/>
      <c r="K87" s="82" t="str">
        <f t="shared" si="2"/>
        <v/>
      </c>
      <c r="M87" s="1"/>
      <c r="N87" s="1"/>
      <c r="O87" s="1"/>
      <c r="P87" s="1"/>
      <c r="Q87" s="1"/>
      <c r="S87" s="63">
        <v>526</v>
      </c>
    </row>
    <row r="88" spans="2:19">
      <c r="B88" s="125" t="e">
        <f>#REF! &amp;"_"&amp;S87</f>
        <v>#REF!</v>
      </c>
      <c r="C88" s="214"/>
      <c r="D88" s="214"/>
      <c r="E88" s="82"/>
      <c r="F88" s="82"/>
      <c r="G88" s="83"/>
      <c r="H88" s="84"/>
      <c r="I88" s="84"/>
      <c r="J88" s="85"/>
      <c r="K88" s="82" t="str">
        <f t="shared" si="2"/>
        <v/>
      </c>
      <c r="M88" s="1"/>
      <c r="N88" s="1"/>
      <c r="O88" s="1"/>
      <c r="P88" s="1"/>
      <c r="Q88" s="1"/>
      <c r="S88" s="63">
        <v>527</v>
      </c>
    </row>
    <row r="89" spans="2:19">
      <c r="B89" s="125" t="e">
        <f>#REF! &amp;"_"&amp;S88</f>
        <v>#REF!</v>
      </c>
      <c r="C89" s="214"/>
      <c r="D89" s="214"/>
      <c r="E89" s="82"/>
      <c r="F89" s="82"/>
      <c r="G89" s="83"/>
      <c r="H89" s="84"/>
      <c r="I89" s="84"/>
      <c r="J89" s="85"/>
      <c r="K89" s="82" t="str">
        <f t="shared" si="2"/>
        <v/>
      </c>
      <c r="M89" s="1"/>
      <c r="N89" s="1"/>
      <c r="O89" s="1"/>
      <c r="P89" s="1"/>
      <c r="Q89" s="1"/>
      <c r="S89" s="63">
        <v>528</v>
      </c>
    </row>
    <row r="90" spans="2:19">
      <c r="B90" s="125" t="e">
        <f>#REF! &amp;"_"&amp;S89</f>
        <v>#REF!</v>
      </c>
      <c r="C90" s="214"/>
      <c r="D90" s="214"/>
      <c r="E90" s="82"/>
      <c r="F90" s="82"/>
      <c r="G90" s="83"/>
      <c r="H90" s="84"/>
      <c r="I90" s="84"/>
      <c r="J90" s="85"/>
      <c r="K90" s="82" t="str">
        <f t="shared" si="2"/>
        <v/>
      </c>
      <c r="M90" s="1"/>
      <c r="N90" s="1"/>
      <c r="O90" s="1"/>
      <c r="P90" s="1"/>
      <c r="Q90" s="1"/>
      <c r="S90" s="63">
        <v>529</v>
      </c>
    </row>
    <row r="91" spans="2:19">
      <c r="B91" s="125" t="e">
        <f>#REF! &amp;"_"&amp;S90</f>
        <v>#REF!</v>
      </c>
      <c r="C91" s="214"/>
      <c r="D91" s="214"/>
      <c r="E91" s="82"/>
      <c r="F91" s="82"/>
      <c r="G91" s="83"/>
      <c r="H91" s="84"/>
      <c r="I91" s="84"/>
      <c r="J91" s="85"/>
      <c r="K91" s="82" t="str">
        <f t="shared" si="2"/>
        <v/>
      </c>
      <c r="M91" s="1"/>
      <c r="N91" s="1"/>
      <c r="O91" s="1"/>
      <c r="P91" s="1"/>
      <c r="Q91" s="1"/>
      <c r="S91" s="63">
        <v>530</v>
      </c>
    </row>
    <row r="92" spans="2:19">
      <c r="B92" s="125" t="e">
        <f>#REF! &amp;"_"&amp;S91</f>
        <v>#REF!</v>
      </c>
      <c r="C92" s="214"/>
      <c r="D92" s="214"/>
      <c r="E92" s="82"/>
      <c r="F92" s="82"/>
      <c r="G92" s="83"/>
      <c r="H92" s="84"/>
      <c r="I92" s="84"/>
      <c r="J92" s="85"/>
      <c r="K92" s="82" t="str">
        <f t="shared" si="2"/>
        <v/>
      </c>
      <c r="M92" s="1"/>
      <c r="N92" s="1"/>
      <c r="O92" s="1"/>
      <c r="P92" s="1"/>
      <c r="Q92" s="1"/>
      <c r="S92" s="63">
        <v>531</v>
      </c>
    </row>
    <row r="93" spans="2:19">
      <c r="B93" s="125" t="e">
        <f>#REF! &amp;"_"&amp;S92</f>
        <v>#REF!</v>
      </c>
      <c r="C93" s="214"/>
      <c r="D93" s="214"/>
      <c r="E93" s="82"/>
      <c r="F93" s="82"/>
      <c r="G93" s="83"/>
      <c r="H93" s="84"/>
      <c r="I93" s="84"/>
      <c r="J93" s="85"/>
      <c r="K93" s="82" t="str">
        <f t="shared" si="2"/>
        <v/>
      </c>
      <c r="M93" s="1"/>
      <c r="N93" s="1"/>
      <c r="O93" s="1"/>
      <c r="P93" s="1"/>
      <c r="Q93" s="1"/>
      <c r="S93" s="63">
        <v>532</v>
      </c>
    </row>
    <row r="94" spans="2:19">
      <c r="B94" s="125" t="e">
        <f>#REF! &amp;"_"&amp;S93</f>
        <v>#REF!</v>
      </c>
      <c r="C94" s="214"/>
      <c r="D94" s="214"/>
      <c r="E94" s="82"/>
      <c r="F94" s="82"/>
      <c r="G94" s="83"/>
      <c r="H94" s="84"/>
      <c r="I94" s="84"/>
      <c r="J94" s="85"/>
      <c r="K94" s="82" t="str">
        <f t="shared" si="2"/>
        <v/>
      </c>
      <c r="M94" s="1"/>
      <c r="N94" s="1"/>
      <c r="O94" s="1"/>
      <c r="P94" s="1"/>
      <c r="Q94" s="1"/>
      <c r="S94" s="63">
        <v>533</v>
      </c>
    </row>
    <row r="95" spans="2:19">
      <c r="B95" s="125" t="e">
        <f>#REF! &amp;"_"&amp;S94</f>
        <v>#REF!</v>
      </c>
      <c r="C95" s="214"/>
      <c r="D95" s="214"/>
      <c r="E95" s="82"/>
      <c r="F95" s="82"/>
      <c r="G95" s="83"/>
      <c r="H95" s="84"/>
      <c r="I95" s="84"/>
      <c r="J95" s="85"/>
      <c r="K95" s="82" t="str">
        <f t="shared" si="2"/>
        <v/>
      </c>
      <c r="M95" s="1"/>
      <c r="N95" s="1"/>
      <c r="O95" s="1"/>
      <c r="P95" s="1"/>
      <c r="Q95" s="1"/>
      <c r="S95" s="63">
        <v>534</v>
      </c>
    </row>
    <row r="96" spans="2:19">
      <c r="B96" s="125" t="e">
        <f>#REF! &amp;"_"&amp;S95</f>
        <v>#REF!</v>
      </c>
      <c r="C96" s="214"/>
      <c r="D96" s="214"/>
      <c r="E96" s="82"/>
      <c r="F96" s="82"/>
      <c r="G96" s="83"/>
      <c r="H96" s="84"/>
      <c r="I96" s="84"/>
      <c r="J96" s="85"/>
      <c r="K96" s="82" t="str">
        <f t="shared" si="2"/>
        <v/>
      </c>
      <c r="M96" s="1"/>
      <c r="N96" s="1"/>
      <c r="O96" s="1"/>
      <c r="P96" s="1"/>
      <c r="Q96" s="1"/>
      <c r="S96" s="63">
        <v>535</v>
      </c>
    </row>
    <row r="97" spans="2:19">
      <c r="B97" s="125" t="e">
        <f>#REF! &amp;"_"&amp;S96</f>
        <v>#REF!</v>
      </c>
      <c r="C97" s="214"/>
      <c r="D97" s="214"/>
      <c r="E97" s="82"/>
      <c r="F97" s="82"/>
      <c r="G97" s="83"/>
      <c r="H97" s="84"/>
      <c r="I97" s="84"/>
      <c r="J97" s="85"/>
      <c r="K97" s="82" t="str">
        <f t="shared" si="2"/>
        <v/>
      </c>
      <c r="M97" s="1"/>
      <c r="N97" s="1"/>
      <c r="O97" s="1"/>
      <c r="P97" s="1"/>
      <c r="Q97" s="1"/>
      <c r="S97" s="63">
        <v>536</v>
      </c>
    </row>
    <row r="98" spans="2:19">
      <c r="B98" s="125" t="e">
        <f>#REF! &amp;"_"&amp;S97</f>
        <v>#REF!</v>
      </c>
      <c r="C98" s="214"/>
      <c r="D98" s="214"/>
      <c r="E98" s="82"/>
      <c r="F98" s="82"/>
      <c r="G98" s="83"/>
      <c r="H98" s="84"/>
      <c r="I98" s="84"/>
      <c r="J98" s="85"/>
      <c r="K98" s="82" t="str">
        <f t="shared" si="2"/>
        <v/>
      </c>
      <c r="M98" s="1"/>
      <c r="N98" s="1"/>
      <c r="O98" s="1"/>
      <c r="P98" s="1"/>
      <c r="Q98" s="1"/>
      <c r="S98" s="63">
        <v>537</v>
      </c>
    </row>
    <row r="99" spans="2:19">
      <c r="B99" s="125" t="e">
        <f>#REF! &amp;"_"&amp;S98</f>
        <v>#REF!</v>
      </c>
      <c r="C99" s="214"/>
      <c r="D99" s="214"/>
      <c r="E99" s="82"/>
      <c r="F99" s="82"/>
      <c r="G99" s="83"/>
      <c r="H99" s="84"/>
      <c r="I99" s="84"/>
      <c r="J99" s="85"/>
      <c r="K99" s="82" t="str">
        <f t="shared" si="2"/>
        <v/>
      </c>
      <c r="M99" s="1"/>
      <c r="N99" s="1"/>
      <c r="O99" s="1"/>
      <c r="P99" s="1"/>
      <c r="Q99" s="1"/>
      <c r="S99" s="63">
        <v>538</v>
      </c>
    </row>
    <row r="100" spans="2:19">
      <c r="B100" s="125" t="e">
        <f>#REF! &amp;"_"&amp;S99</f>
        <v>#REF!</v>
      </c>
      <c r="C100" s="214"/>
      <c r="D100" s="214"/>
      <c r="E100" s="82"/>
      <c r="F100" s="82"/>
      <c r="G100" s="83"/>
      <c r="H100" s="84"/>
      <c r="I100" s="84"/>
      <c r="J100" s="85"/>
      <c r="K100" s="82" t="str">
        <f t="shared" si="2"/>
        <v/>
      </c>
      <c r="M100" s="1"/>
      <c r="N100" s="1"/>
      <c r="O100" s="1"/>
      <c r="P100" s="1"/>
      <c r="Q100" s="1"/>
      <c r="S100" s="63">
        <v>539</v>
      </c>
    </row>
    <row r="101" spans="2:19">
      <c r="B101" s="125" t="e">
        <f>#REF! &amp;"_"&amp;S100</f>
        <v>#REF!</v>
      </c>
      <c r="C101" s="214"/>
      <c r="D101" s="214"/>
      <c r="E101" s="82"/>
      <c r="F101" s="82"/>
      <c r="G101" s="83"/>
      <c r="H101" s="84"/>
      <c r="I101" s="84"/>
      <c r="J101" s="85"/>
      <c r="K101" s="82" t="str">
        <f t="shared" si="2"/>
        <v/>
      </c>
      <c r="M101" s="1"/>
      <c r="N101" s="1"/>
      <c r="O101" s="1"/>
      <c r="P101" s="1"/>
      <c r="Q101" s="1"/>
      <c r="S101" s="63">
        <v>540</v>
      </c>
    </row>
    <row r="102" spans="2:19">
      <c r="B102" s="125" t="e">
        <f>#REF! &amp;"_"&amp;S101</f>
        <v>#REF!</v>
      </c>
      <c r="C102" s="214"/>
      <c r="D102" s="214"/>
      <c r="E102" s="82"/>
      <c r="F102" s="82"/>
      <c r="G102" s="83"/>
      <c r="H102" s="84"/>
      <c r="I102" s="84"/>
      <c r="J102" s="85"/>
      <c r="K102" s="82" t="str">
        <f t="shared" si="2"/>
        <v/>
      </c>
      <c r="M102" s="1"/>
      <c r="N102" s="1"/>
      <c r="O102" s="1"/>
      <c r="P102" s="1"/>
      <c r="Q102" s="1"/>
      <c r="S102" s="63">
        <v>541</v>
      </c>
    </row>
    <row r="103" spans="2:19">
      <c r="B103" s="125" t="e">
        <f>#REF! &amp;"_"&amp;S102</f>
        <v>#REF!</v>
      </c>
      <c r="C103" s="214"/>
      <c r="D103" s="214"/>
      <c r="E103" s="82"/>
      <c r="F103" s="82"/>
      <c r="G103" s="83"/>
      <c r="H103" s="84"/>
      <c r="I103" s="84"/>
      <c r="J103" s="85"/>
      <c r="K103" s="82" t="str">
        <f t="shared" si="2"/>
        <v/>
      </c>
      <c r="M103" s="1"/>
      <c r="N103" s="1"/>
      <c r="O103" s="1"/>
      <c r="P103" s="1"/>
      <c r="Q103" s="1"/>
      <c r="S103" s="63">
        <v>542</v>
      </c>
    </row>
    <row r="104" spans="2:19">
      <c r="B104" s="125" t="e">
        <f>#REF! &amp;"_"&amp;S103</f>
        <v>#REF!</v>
      </c>
      <c r="C104" s="214"/>
      <c r="D104" s="214"/>
      <c r="E104" s="82"/>
      <c r="F104" s="82"/>
      <c r="G104" s="83"/>
      <c r="H104" s="84"/>
      <c r="I104" s="84"/>
      <c r="J104" s="85"/>
      <c r="K104" s="82" t="str">
        <f t="shared" si="2"/>
        <v/>
      </c>
      <c r="M104" s="1"/>
      <c r="N104" s="1"/>
      <c r="O104" s="1"/>
      <c r="P104" s="1"/>
      <c r="Q104" s="1"/>
      <c r="S104" s="63">
        <v>543</v>
      </c>
    </row>
    <row r="105" spans="2:19">
      <c r="B105" s="125" t="e">
        <f>#REF! &amp;"_"&amp;S104</f>
        <v>#REF!</v>
      </c>
      <c r="C105" s="214"/>
      <c r="D105" s="214"/>
      <c r="E105" s="82"/>
      <c r="F105" s="82"/>
      <c r="G105" s="83"/>
      <c r="H105" s="84"/>
      <c r="I105" s="84"/>
      <c r="J105" s="85"/>
      <c r="K105" s="82" t="str">
        <f t="shared" si="2"/>
        <v/>
      </c>
      <c r="M105" s="1"/>
      <c r="N105" s="1"/>
      <c r="O105" s="1"/>
      <c r="P105" s="1"/>
      <c r="Q105" s="1"/>
      <c r="S105" s="63">
        <v>544</v>
      </c>
    </row>
    <row r="106" spans="2:19">
      <c r="B106" s="125" t="e">
        <f>#REF! &amp;"_"&amp;S105</f>
        <v>#REF!</v>
      </c>
      <c r="C106" s="214"/>
      <c r="D106" s="214"/>
      <c r="E106" s="82"/>
      <c r="F106" s="82"/>
      <c r="G106" s="83"/>
      <c r="H106" s="84"/>
      <c r="I106" s="84"/>
      <c r="J106" s="85"/>
      <c r="K106" s="82" t="str">
        <f t="shared" si="2"/>
        <v/>
      </c>
      <c r="M106" s="1"/>
      <c r="N106" s="1"/>
      <c r="O106" s="1"/>
      <c r="P106" s="1"/>
      <c r="Q106" s="1"/>
      <c r="S106" s="63">
        <v>545</v>
      </c>
    </row>
    <row r="107" spans="2:19">
      <c r="B107" s="125" t="e">
        <f>#REF! &amp;"_"&amp;S106</f>
        <v>#REF!</v>
      </c>
      <c r="C107" s="214"/>
      <c r="D107" s="214"/>
      <c r="E107" s="82"/>
      <c r="F107" s="82"/>
      <c r="G107" s="83"/>
      <c r="H107" s="84"/>
      <c r="I107" s="84"/>
      <c r="J107" s="85"/>
      <c r="K107" s="82" t="str">
        <f t="shared" si="2"/>
        <v/>
      </c>
      <c r="M107" s="1"/>
      <c r="N107" s="1"/>
      <c r="O107" s="1"/>
      <c r="P107" s="1"/>
      <c r="Q107" s="1"/>
      <c r="S107" s="63">
        <v>546</v>
      </c>
    </row>
    <row r="108" spans="2:19">
      <c r="B108" s="125" t="e">
        <f>#REF! &amp;"_"&amp;S107</f>
        <v>#REF!</v>
      </c>
      <c r="C108" s="214"/>
      <c r="D108" s="214"/>
      <c r="E108" s="82"/>
      <c r="F108" s="82"/>
      <c r="G108" s="83"/>
      <c r="H108" s="84"/>
      <c r="I108" s="84"/>
      <c r="J108" s="85"/>
      <c r="K108" s="82" t="str">
        <f t="shared" si="2"/>
        <v/>
      </c>
      <c r="M108" s="1"/>
      <c r="N108" s="1"/>
      <c r="O108" s="1"/>
      <c r="P108" s="1"/>
      <c r="Q108" s="1"/>
      <c r="S108" s="63">
        <v>547</v>
      </c>
    </row>
    <row r="109" spans="2:19">
      <c r="B109" s="125" t="e">
        <f>#REF! &amp;"_"&amp;S108</f>
        <v>#REF!</v>
      </c>
      <c r="C109" s="214"/>
      <c r="D109" s="214"/>
      <c r="E109" s="82"/>
      <c r="F109" s="82"/>
      <c r="G109" s="83"/>
      <c r="H109" s="84"/>
      <c r="I109" s="84"/>
      <c r="J109" s="85"/>
      <c r="K109" s="82" t="str">
        <f t="shared" si="2"/>
        <v/>
      </c>
      <c r="M109" s="1"/>
      <c r="N109" s="1"/>
      <c r="O109" s="1"/>
      <c r="P109" s="1"/>
      <c r="Q109" s="1"/>
      <c r="S109" s="63">
        <v>548</v>
      </c>
    </row>
    <row r="110" spans="2:19">
      <c r="B110" s="125" t="e">
        <f>#REF! &amp;"_"&amp;S109</f>
        <v>#REF!</v>
      </c>
      <c r="C110" s="214"/>
      <c r="D110" s="214"/>
      <c r="E110" s="82"/>
      <c r="F110" s="82"/>
      <c r="G110" s="83"/>
      <c r="H110" s="84"/>
      <c r="I110" s="84"/>
      <c r="J110" s="85"/>
      <c r="K110" s="82" t="str">
        <f t="shared" si="2"/>
        <v/>
      </c>
      <c r="M110" s="1"/>
      <c r="N110" s="1"/>
      <c r="O110" s="1"/>
      <c r="P110" s="1"/>
      <c r="Q110" s="1"/>
      <c r="S110" s="63">
        <v>549</v>
      </c>
    </row>
    <row r="111" spans="2:19">
      <c r="B111" s="125" t="e">
        <f>#REF! &amp;"_"&amp;S110</f>
        <v>#REF!</v>
      </c>
      <c r="C111" s="214"/>
      <c r="D111" s="214"/>
      <c r="E111" s="82"/>
      <c r="F111" s="82"/>
      <c r="G111" s="83"/>
      <c r="H111" s="84"/>
      <c r="I111" s="84"/>
      <c r="J111" s="85"/>
      <c r="K111" s="82" t="str">
        <f t="shared" si="2"/>
        <v/>
      </c>
      <c r="M111" s="1"/>
      <c r="N111" s="1"/>
      <c r="O111" s="1"/>
      <c r="P111" s="1"/>
      <c r="Q111" s="1"/>
      <c r="S111" s="63">
        <v>550</v>
      </c>
    </row>
    <row r="112" spans="2:19">
      <c r="B112" s="125" t="e">
        <f>#REF! &amp;"_"&amp;S111</f>
        <v>#REF!</v>
      </c>
      <c r="C112" s="214"/>
      <c r="D112" s="214"/>
      <c r="E112" s="82"/>
      <c r="F112" s="82"/>
      <c r="G112" s="83"/>
      <c r="H112" s="84"/>
      <c r="I112" s="84"/>
      <c r="J112" s="85"/>
      <c r="K112" s="82" t="str">
        <f t="shared" si="2"/>
        <v/>
      </c>
      <c r="M112" s="1"/>
      <c r="N112" s="1"/>
      <c r="O112" s="1"/>
      <c r="P112" s="1"/>
      <c r="Q112" s="1"/>
      <c r="S112" s="63">
        <v>551</v>
      </c>
    </row>
    <row r="113" spans="2:19">
      <c r="B113" s="125" t="e">
        <f>#REF! &amp;"_"&amp;S112</f>
        <v>#REF!</v>
      </c>
      <c r="C113" s="214"/>
      <c r="D113" s="214"/>
      <c r="E113" s="82"/>
      <c r="F113" s="82"/>
      <c r="G113" s="83"/>
      <c r="H113" s="84"/>
      <c r="I113" s="84"/>
      <c r="J113" s="85"/>
      <c r="K113" s="82" t="str">
        <f t="shared" si="2"/>
        <v/>
      </c>
      <c r="M113" s="1"/>
      <c r="N113" s="1"/>
      <c r="O113" s="1"/>
      <c r="P113" s="1"/>
      <c r="Q113" s="1"/>
      <c r="S113" s="63">
        <v>552</v>
      </c>
    </row>
    <row r="114" spans="2:19">
      <c r="B114" s="125" t="e">
        <f>#REF! &amp;"_"&amp;S113</f>
        <v>#REF!</v>
      </c>
      <c r="C114" s="214"/>
      <c r="D114" s="214"/>
      <c r="E114" s="82"/>
      <c r="F114" s="82"/>
      <c r="G114" s="83"/>
      <c r="H114" s="84"/>
      <c r="I114" s="84"/>
      <c r="J114" s="85"/>
      <c r="K114" s="82" t="str">
        <f t="shared" si="2"/>
        <v/>
      </c>
      <c r="M114" s="1"/>
      <c r="N114" s="1"/>
      <c r="O114" s="1"/>
      <c r="P114" s="1"/>
      <c r="Q114" s="1"/>
      <c r="S114" s="63">
        <v>553</v>
      </c>
    </row>
    <row r="115" spans="2:19">
      <c r="B115" s="125" t="e">
        <f>#REF! &amp;"_"&amp;S114</f>
        <v>#REF!</v>
      </c>
      <c r="C115" s="214"/>
      <c r="D115" s="214"/>
      <c r="E115" s="82"/>
      <c r="F115" s="82"/>
      <c r="G115" s="83"/>
      <c r="H115" s="84"/>
      <c r="I115" s="84"/>
      <c r="J115" s="85"/>
      <c r="K115" s="82" t="str">
        <f t="shared" si="2"/>
        <v/>
      </c>
      <c r="M115" s="1"/>
      <c r="N115" s="1"/>
      <c r="O115" s="1"/>
      <c r="P115" s="1"/>
      <c r="Q115" s="1"/>
      <c r="S115" s="63">
        <v>554</v>
      </c>
    </row>
    <row r="116" spans="2:19">
      <c r="B116" s="125" t="e">
        <f>#REF! &amp;"_"&amp;S115</f>
        <v>#REF!</v>
      </c>
      <c r="C116" s="214"/>
      <c r="D116" s="214"/>
      <c r="E116" s="82"/>
      <c r="F116" s="82"/>
      <c r="G116" s="83"/>
      <c r="H116" s="84"/>
      <c r="I116" s="84"/>
      <c r="J116" s="85"/>
      <c r="K116" s="82" t="str">
        <f t="shared" si="2"/>
        <v/>
      </c>
      <c r="M116" s="1"/>
      <c r="N116" s="1"/>
      <c r="O116" s="1"/>
      <c r="P116" s="1"/>
      <c r="Q116" s="1"/>
      <c r="S116" s="63">
        <v>555</v>
      </c>
    </row>
    <row r="117" spans="2:19">
      <c r="B117" s="125" t="e">
        <f>#REF! &amp;"_"&amp;S116</f>
        <v>#REF!</v>
      </c>
      <c r="C117" s="214"/>
      <c r="D117" s="214"/>
      <c r="E117" s="82"/>
      <c r="F117" s="82"/>
      <c r="G117" s="83"/>
      <c r="H117" s="84"/>
      <c r="I117" s="84"/>
      <c r="J117" s="85"/>
      <c r="K117" s="82" t="str">
        <f t="shared" si="2"/>
        <v/>
      </c>
      <c r="M117" s="1"/>
      <c r="N117" s="1"/>
      <c r="O117" s="1"/>
      <c r="P117" s="1"/>
      <c r="Q117" s="1"/>
      <c r="S117" s="63">
        <v>556</v>
      </c>
    </row>
    <row r="118" spans="2:19">
      <c r="B118" s="125" t="e">
        <f>#REF! &amp;"_"&amp;S117</f>
        <v>#REF!</v>
      </c>
      <c r="C118" s="214"/>
      <c r="D118" s="214"/>
      <c r="E118" s="82"/>
      <c r="F118" s="82"/>
      <c r="G118" s="83"/>
      <c r="H118" s="84"/>
      <c r="I118" s="84"/>
      <c r="J118" s="85"/>
      <c r="K118" s="82" t="str">
        <f t="shared" si="2"/>
        <v/>
      </c>
      <c r="M118" s="1"/>
      <c r="N118" s="1"/>
      <c r="O118" s="1"/>
      <c r="P118" s="1"/>
      <c r="Q118" s="1"/>
      <c r="S118" s="63">
        <v>557</v>
      </c>
    </row>
    <row r="119" spans="2:19">
      <c r="B119" s="125" t="e">
        <f>#REF! &amp;"_"&amp;S118</f>
        <v>#REF!</v>
      </c>
      <c r="C119" s="214"/>
      <c r="D119" s="214"/>
      <c r="E119" s="82"/>
      <c r="F119" s="82"/>
      <c r="G119" s="83"/>
      <c r="H119" s="84"/>
      <c r="I119" s="84"/>
      <c r="J119" s="85"/>
      <c r="K119" s="82" t="str">
        <f t="shared" si="2"/>
        <v/>
      </c>
      <c r="M119" s="1"/>
      <c r="N119" s="1"/>
      <c r="O119" s="1"/>
      <c r="P119" s="1"/>
      <c r="Q119" s="1"/>
      <c r="S119" s="63">
        <v>558</v>
      </c>
    </row>
    <row r="120" spans="2:19">
      <c r="B120" s="125" t="e">
        <f>#REF! &amp;"_"&amp;S119</f>
        <v>#REF!</v>
      </c>
      <c r="C120" s="214"/>
      <c r="D120" s="214"/>
      <c r="E120" s="82"/>
      <c r="F120" s="82"/>
      <c r="G120" s="83"/>
      <c r="H120" s="84"/>
      <c r="I120" s="84"/>
      <c r="J120" s="85"/>
      <c r="K120" s="82" t="str">
        <f t="shared" si="2"/>
        <v/>
      </c>
      <c r="M120" s="1"/>
      <c r="N120" s="1"/>
      <c r="O120" s="1"/>
      <c r="P120" s="1"/>
      <c r="Q120" s="1"/>
      <c r="S120" s="63">
        <v>559</v>
      </c>
    </row>
    <row r="121" spans="2:19">
      <c r="B121" s="125" t="e">
        <f>#REF! &amp;"_"&amp;S120</f>
        <v>#REF!</v>
      </c>
      <c r="C121" s="214"/>
      <c r="D121" s="214"/>
      <c r="E121" s="82"/>
      <c r="F121" s="82"/>
      <c r="G121" s="83"/>
      <c r="H121" s="84"/>
      <c r="I121" s="84"/>
      <c r="J121" s="85"/>
      <c r="K121" s="82" t="str">
        <f t="shared" si="2"/>
        <v/>
      </c>
      <c r="M121" s="1"/>
      <c r="N121" s="1"/>
      <c r="O121" s="1"/>
      <c r="P121" s="1"/>
      <c r="Q121" s="1"/>
      <c r="S121" s="63">
        <v>560</v>
      </c>
    </row>
    <row r="122" spans="2:19">
      <c r="B122" s="125" t="e">
        <f>#REF! &amp;"_"&amp;S121</f>
        <v>#REF!</v>
      </c>
      <c r="C122" s="214"/>
      <c r="D122" s="214"/>
      <c r="E122" s="82"/>
      <c r="F122" s="82"/>
      <c r="G122" s="83"/>
      <c r="H122" s="84"/>
      <c r="I122" s="84"/>
      <c r="J122" s="85"/>
      <c r="K122" s="82" t="str">
        <f t="shared" si="2"/>
        <v/>
      </c>
      <c r="M122" s="1"/>
      <c r="N122" s="1"/>
      <c r="O122" s="1"/>
      <c r="P122" s="1"/>
      <c r="Q122" s="1"/>
      <c r="S122" s="63">
        <v>561</v>
      </c>
    </row>
    <row r="123" spans="2:19">
      <c r="B123" s="125" t="e">
        <f>#REF! &amp;"_"&amp;S122</f>
        <v>#REF!</v>
      </c>
      <c r="C123" s="214"/>
      <c r="D123" s="214"/>
      <c r="E123" s="82"/>
      <c r="F123" s="82"/>
      <c r="G123" s="83"/>
      <c r="H123" s="84"/>
      <c r="I123" s="84"/>
      <c r="J123" s="85"/>
      <c r="K123" s="82" t="str">
        <f t="shared" si="2"/>
        <v/>
      </c>
      <c r="M123" s="1"/>
      <c r="N123" s="1"/>
      <c r="O123" s="1"/>
      <c r="P123" s="1"/>
      <c r="Q123" s="1"/>
      <c r="S123" s="63">
        <v>562</v>
      </c>
    </row>
    <row r="124" spans="2:19">
      <c r="B124" s="125" t="e">
        <f>#REF! &amp;"_"&amp;S123</f>
        <v>#REF!</v>
      </c>
      <c r="C124" s="214"/>
      <c r="D124" s="214"/>
      <c r="E124" s="82"/>
      <c r="F124" s="82"/>
      <c r="G124" s="83"/>
      <c r="H124" s="84"/>
      <c r="I124" s="84"/>
      <c r="J124" s="85"/>
      <c r="K124" s="82" t="str">
        <f t="shared" si="2"/>
        <v/>
      </c>
      <c r="M124" s="1"/>
      <c r="N124" s="1"/>
      <c r="O124" s="1"/>
      <c r="P124" s="1"/>
      <c r="Q124" s="1"/>
      <c r="S124" s="63">
        <v>563</v>
      </c>
    </row>
    <row r="125" spans="2:19">
      <c r="B125" s="125" t="e">
        <f>#REF! &amp;"_"&amp;S124</f>
        <v>#REF!</v>
      </c>
      <c r="C125" s="214"/>
      <c r="D125" s="214"/>
      <c r="E125" s="82"/>
      <c r="F125" s="82"/>
      <c r="G125" s="83"/>
      <c r="H125" s="84"/>
      <c r="I125" s="84"/>
      <c r="J125" s="85"/>
      <c r="K125" s="82" t="str">
        <f t="shared" si="2"/>
        <v/>
      </c>
      <c r="M125" s="1"/>
      <c r="N125" s="1"/>
      <c r="O125" s="1"/>
      <c r="P125" s="1"/>
      <c r="Q125" s="1"/>
      <c r="S125" s="63">
        <v>564</v>
      </c>
    </row>
    <row r="126" spans="2:19">
      <c r="B126" s="125" t="e">
        <f>#REF! &amp;"_"&amp;S125</f>
        <v>#REF!</v>
      </c>
      <c r="C126" s="214"/>
      <c r="D126" s="214"/>
      <c r="E126" s="82"/>
      <c r="F126" s="82"/>
      <c r="G126" s="83"/>
      <c r="H126" s="84"/>
      <c r="I126" s="84"/>
      <c r="J126" s="85"/>
      <c r="K126" s="82" t="str">
        <f t="shared" si="2"/>
        <v/>
      </c>
      <c r="M126" s="1"/>
      <c r="N126" s="1"/>
      <c r="O126" s="1"/>
      <c r="P126" s="1"/>
      <c r="Q126" s="1"/>
      <c r="S126" s="63">
        <v>565</v>
      </c>
    </row>
    <row r="127" spans="2:19">
      <c r="B127" s="125" t="e">
        <f>#REF! &amp;"_"&amp;S126</f>
        <v>#REF!</v>
      </c>
      <c r="C127" s="214"/>
      <c r="D127" s="214"/>
      <c r="E127" s="82"/>
      <c r="F127" s="82"/>
      <c r="G127" s="83"/>
      <c r="H127" s="84"/>
      <c r="I127" s="84"/>
      <c r="J127" s="85"/>
      <c r="K127" s="82" t="str">
        <f t="shared" si="2"/>
        <v/>
      </c>
      <c r="M127" s="1"/>
      <c r="N127" s="1"/>
      <c r="O127" s="1"/>
      <c r="P127" s="1"/>
      <c r="Q127" s="1"/>
      <c r="S127" s="63">
        <v>566</v>
      </c>
    </row>
    <row r="128" spans="2:19">
      <c r="B128" s="125" t="e">
        <f>#REF! &amp;"_"&amp;S127</f>
        <v>#REF!</v>
      </c>
      <c r="C128" s="214"/>
      <c r="D128" s="214"/>
      <c r="E128" s="82"/>
      <c r="F128" s="82"/>
      <c r="G128" s="83"/>
      <c r="H128" s="84"/>
      <c r="I128" s="84"/>
      <c r="J128" s="85"/>
      <c r="K128" s="82" t="str">
        <f t="shared" si="2"/>
        <v/>
      </c>
      <c r="M128" s="1"/>
      <c r="N128" s="1"/>
      <c r="O128" s="1"/>
      <c r="P128" s="1"/>
      <c r="Q128" s="1"/>
      <c r="S128" s="63">
        <v>567</v>
      </c>
    </row>
    <row r="129" spans="2:19">
      <c r="B129" s="125" t="e">
        <f>#REF! &amp;"_"&amp;S128</f>
        <v>#REF!</v>
      </c>
      <c r="C129" s="214"/>
      <c r="D129" s="214"/>
      <c r="E129" s="82"/>
      <c r="F129" s="82"/>
      <c r="G129" s="83"/>
      <c r="H129" s="84"/>
      <c r="I129" s="84"/>
      <c r="J129" s="85"/>
      <c r="K129" s="82" t="str">
        <f t="shared" si="2"/>
        <v/>
      </c>
      <c r="M129" s="1"/>
      <c r="N129" s="1"/>
      <c r="O129" s="1"/>
      <c r="P129" s="1"/>
      <c r="Q129" s="1"/>
      <c r="S129" s="63">
        <v>568</v>
      </c>
    </row>
    <row r="130" spans="2:19">
      <c r="B130" s="125" t="e">
        <f>#REF! &amp;"_"&amp;S129</f>
        <v>#REF!</v>
      </c>
      <c r="C130" s="214"/>
      <c r="D130" s="214"/>
      <c r="E130" s="82"/>
      <c r="F130" s="82"/>
      <c r="G130" s="83"/>
      <c r="H130" s="84"/>
      <c r="I130" s="84"/>
      <c r="J130" s="85"/>
      <c r="K130" s="82" t="str">
        <f t="shared" si="2"/>
        <v/>
      </c>
      <c r="M130" s="1"/>
      <c r="N130" s="1"/>
      <c r="O130" s="1"/>
      <c r="P130" s="1"/>
      <c r="Q130" s="1"/>
      <c r="S130" s="63">
        <v>569</v>
      </c>
    </row>
    <row r="131" spans="2:19">
      <c r="B131" s="125" t="e">
        <f>#REF! &amp;"_"&amp;S130</f>
        <v>#REF!</v>
      </c>
      <c r="C131" s="214"/>
      <c r="D131" s="214"/>
      <c r="E131" s="82"/>
      <c r="F131" s="82"/>
      <c r="G131" s="83"/>
      <c r="H131" s="84"/>
      <c r="I131" s="84"/>
      <c r="J131" s="85"/>
      <c r="K131" s="82" t="str">
        <f t="shared" si="2"/>
        <v/>
      </c>
      <c r="M131" s="1"/>
      <c r="N131" s="1"/>
      <c r="O131" s="1"/>
      <c r="P131" s="1"/>
      <c r="Q131" s="1"/>
      <c r="S131" s="63">
        <v>570</v>
      </c>
    </row>
    <row r="132" spans="2:19">
      <c r="B132" s="125" t="e">
        <f>#REF! &amp;"_"&amp;S131</f>
        <v>#REF!</v>
      </c>
      <c r="C132" s="214"/>
      <c r="D132" s="214"/>
      <c r="E132" s="82"/>
      <c r="F132" s="82"/>
      <c r="G132" s="83"/>
      <c r="H132" s="84"/>
      <c r="I132" s="84"/>
      <c r="J132" s="85"/>
      <c r="K132" s="82" t="str">
        <f t="shared" si="2"/>
        <v/>
      </c>
      <c r="M132" s="1"/>
      <c r="N132" s="1"/>
      <c r="O132" s="1"/>
      <c r="P132" s="1"/>
      <c r="Q132" s="1"/>
      <c r="S132" s="63">
        <v>571</v>
      </c>
    </row>
    <row r="133" spans="2:19">
      <c r="B133" s="125" t="e">
        <f>#REF! &amp;"_"&amp;S132</f>
        <v>#REF!</v>
      </c>
      <c r="C133" s="214"/>
      <c r="D133" s="214"/>
      <c r="E133" s="82"/>
      <c r="F133" s="82"/>
      <c r="G133" s="83"/>
      <c r="H133" s="84"/>
      <c r="I133" s="84"/>
      <c r="J133" s="85"/>
      <c r="K133" s="82" t="str">
        <f t="shared" si="2"/>
        <v/>
      </c>
      <c r="M133" s="1"/>
      <c r="N133" s="1"/>
      <c r="O133" s="1"/>
      <c r="P133" s="1"/>
      <c r="Q133" s="1"/>
      <c r="S133" s="63">
        <v>572</v>
      </c>
    </row>
    <row r="134" spans="2:19">
      <c r="B134" s="125" t="e">
        <f>#REF! &amp;"_"&amp;S133</f>
        <v>#REF!</v>
      </c>
      <c r="C134" s="214"/>
      <c r="D134" s="214"/>
      <c r="E134" s="82"/>
      <c r="F134" s="82"/>
      <c r="G134" s="83"/>
      <c r="H134" s="84"/>
      <c r="I134" s="84"/>
      <c r="J134" s="85"/>
      <c r="K134" s="82" t="str">
        <f t="shared" si="2"/>
        <v/>
      </c>
      <c r="M134" s="1"/>
      <c r="N134" s="1"/>
      <c r="O134" s="1"/>
      <c r="P134" s="1"/>
      <c r="Q134" s="1"/>
      <c r="S134" s="63">
        <v>573</v>
      </c>
    </row>
    <row r="135" spans="2:19">
      <c r="B135" s="125" t="e">
        <f>#REF! &amp;"_"&amp;S134</f>
        <v>#REF!</v>
      </c>
      <c r="C135" s="214"/>
      <c r="D135" s="214"/>
      <c r="E135" s="82"/>
      <c r="F135" s="82"/>
      <c r="G135" s="83"/>
      <c r="H135" s="84"/>
      <c r="I135" s="84"/>
      <c r="J135" s="85"/>
      <c r="K135" s="82" t="str">
        <f t="shared" si="2"/>
        <v/>
      </c>
      <c r="M135" s="1"/>
      <c r="N135" s="1"/>
      <c r="O135" s="1"/>
      <c r="P135" s="1"/>
      <c r="Q135" s="1"/>
      <c r="S135" s="63">
        <v>574</v>
      </c>
    </row>
    <row r="136" spans="2:19">
      <c r="B136" s="125" t="e">
        <f>#REF! &amp;"_"&amp;S135</f>
        <v>#REF!</v>
      </c>
      <c r="C136" s="214"/>
      <c r="D136" s="214"/>
      <c r="E136" s="82"/>
      <c r="F136" s="82"/>
      <c r="G136" s="83"/>
      <c r="H136" s="84"/>
      <c r="I136" s="84"/>
      <c r="J136" s="85"/>
      <c r="K136" s="82" t="str">
        <f t="shared" si="2"/>
        <v/>
      </c>
      <c r="M136" s="1"/>
      <c r="N136" s="1"/>
      <c r="O136" s="1"/>
      <c r="P136" s="1"/>
      <c r="Q136" s="1"/>
      <c r="S136" s="63">
        <v>575</v>
      </c>
    </row>
    <row r="137" spans="2:19">
      <c r="B137" s="125" t="e">
        <f>#REF! &amp;"_"&amp;S136</f>
        <v>#REF!</v>
      </c>
      <c r="C137" s="214"/>
      <c r="D137" s="214"/>
      <c r="E137" s="82"/>
      <c r="F137" s="82"/>
      <c r="G137" s="83"/>
      <c r="H137" s="84"/>
      <c r="I137" s="84"/>
      <c r="J137" s="85"/>
      <c r="K137" s="82" t="str">
        <f t="shared" si="2"/>
        <v/>
      </c>
      <c r="M137" s="1"/>
      <c r="N137" s="1"/>
      <c r="O137" s="1"/>
      <c r="P137" s="1"/>
      <c r="Q137" s="1"/>
      <c r="S137" s="63">
        <v>576</v>
      </c>
    </row>
    <row r="138" spans="2:19">
      <c r="B138" s="125" t="e">
        <f>#REF! &amp;"_"&amp;S137</f>
        <v>#REF!</v>
      </c>
      <c r="C138" s="214"/>
      <c r="D138" s="214"/>
      <c r="E138" s="82"/>
      <c r="F138" s="82"/>
      <c r="G138" s="83"/>
      <c r="H138" s="84"/>
      <c r="I138" s="84"/>
      <c r="J138" s="85"/>
      <c r="K138" s="82" t="str">
        <f t="shared" si="2"/>
        <v/>
      </c>
      <c r="M138" s="1"/>
      <c r="N138" s="1"/>
      <c r="O138" s="1"/>
      <c r="P138" s="1"/>
      <c r="Q138" s="1"/>
      <c r="S138" s="63">
        <v>577</v>
      </c>
    </row>
    <row r="139" spans="2:19">
      <c r="B139" s="125" t="e">
        <f>#REF! &amp;"_"&amp;S138</f>
        <v>#REF!</v>
      </c>
      <c r="C139" s="214"/>
      <c r="D139" s="214"/>
      <c r="E139" s="82"/>
      <c r="F139" s="82"/>
      <c r="G139" s="83"/>
      <c r="H139" s="84"/>
      <c r="I139" s="84"/>
      <c r="J139" s="85"/>
      <c r="K139" s="82" t="str">
        <f t="shared" si="2"/>
        <v/>
      </c>
      <c r="M139" s="1"/>
      <c r="N139" s="1"/>
      <c r="O139" s="1"/>
      <c r="P139" s="1"/>
      <c r="Q139" s="1"/>
      <c r="S139" s="63">
        <v>578</v>
      </c>
    </row>
    <row r="140" spans="2:19">
      <c r="B140" s="125" t="e">
        <f>#REF! &amp;"_"&amp;S139</f>
        <v>#REF!</v>
      </c>
      <c r="C140" s="214"/>
      <c r="D140" s="214"/>
      <c r="E140" s="82"/>
      <c r="F140" s="82"/>
      <c r="G140" s="83"/>
      <c r="H140" s="84"/>
      <c r="I140" s="84"/>
      <c r="J140" s="85"/>
      <c r="K140" s="82" t="str">
        <f t="shared" ref="K140:K203" si="3">IF(H140="","",$E$6)</f>
        <v/>
      </c>
      <c r="M140" s="1"/>
      <c r="N140" s="1"/>
      <c r="O140" s="1"/>
      <c r="P140" s="1"/>
      <c r="Q140" s="1"/>
      <c r="S140" s="63">
        <v>579</v>
      </c>
    </row>
    <row r="141" spans="2:19">
      <c r="B141" s="125" t="e">
        <f>#REF! &amp;"_"&amp;S140</f>
        <v>#REF!</v>
      </c>
      <c r="C141" s="214"/>
      <c r="D141" s="214"/>
      <c r="E141" s="82"/>
      <c r="F141" s="82"/>
      <c r="G141" s="83"/>
      <c r="H141" s="84"/>
      <c r="I141" s="84"/>
      <c r="J141" s="85"/>
      <c r="K141" s="82" t="str">
        <f t="shared" si="3"/>
        <v/>
      </c>
      <c r="M141" s="1"/>
      <c r="N141" s="1"/>
      <c r="O141" s="1"/>
      <c r="P141" s="1"/>
      <c r="Q141" s="1"/>
      <c r="S141" s="63">
        <v>580</v>
      </c>
    </row>
    <row r="142" spans="2:19">
      <c r="B142" s="125" t="e">
        <f>#REF! &amp;"_"&amp;S141</f>
        <v>#REF!</v>
      </c>
      <c r="C142" s="214"/>
      <c r="D142" s="214"/>
      <c r="E142" s="82"/>
      <c r="F142" s="82"/>
      <c r="G142" s="83"/>
      <c r="H142" s="84"/>
      <c r="I142" s="84"/>
      <c r="J142" s="85"/>
      <c r="K142" s="82" t="str">
        <f t="shared" si="3"/>
        <v/>
      </c>
      <c r="M142" s="1"/>
      <c r="N142" s="1"/>
      <c r="O142" s="1"/>
      <c r="P142" s="1"/>
      <c r="Q142" s="1"/>
      <c r="S142" s="63">
        <v>581</v>
      </c>
    </row>
    <row r="143" spans="2:19">
      <c r="B143" s="125" t="e">
        <f>#REF! &amp;"_"&amp;S142</f>
        <v>#REF!</v>
      </c>
      <c r="C143" s="214"/>
      <c r="D143" s="214"/>
      <c r="E143" s="82"/>
      <c r="F143" s="82"/>
      <c r="G143" s="83"/>
      <c r="H143" s="84"/>
      <c r="I143" s="84"/>
      <c r="J143" s="85"/>
      <c r="K143" s="82" t="str">
        <f t="shared" si="3"/>
        <v/>
      </c>
      <c r="M143" s="1"/>
      <c r="N143" s="1"/>
      <c r="O143" s="1"/>
      <c r="P143" s="1"/>
      <c r="Q143" s="1"/>
      <c r="S143" s="63">
        <v>582</v>
      </c>
    </row>
    <row r="144" spans="2:19">
      <c r="B144" s="125" t="e">
        <f>#REF! &amp;"_"&amp;S143</f>
        <v>#REF!</v>
      </c>
      <c r="C144" s="214"/>
      <c r="D144" s="214"/>
      <c r="E144" s="82"/>
      <c r="F144" s="82"/>
      <c r="G144" s="83"/>
      <c r="H144" s="84"/>
      <c r="I144" s="84"/>
      <c r="J144" s="85"/>
      <c r="K144" s="82" t="str">
        <f t="shared" si="3"/>
        <v/>
      </c>
      <c r="M144" s="1"/>
      <c r="N144" s="1"/>
      <c r="O144" s="1"/>
      <c r="P144" s="1"/>
      <c r="Q144" s="1"/>
      <c r="S144" s="63">
        <v>583</v>
      </c>
    </row>
    <row r="145" spans="2:19">
      <c r="B145" s="125" t="e">
        <f>#REF! &amp;"_"&amp;S144</f>
        <v>#REF!</v>
      </c>
      <c r="C145" s="214"/>
      <c r="D145" s="214"/>
      <c r="E145" s="82"/>
      <c r="F145" s="82"/>
      <c r="G145" s="83"/>
      <c r="H145" s="84"/>
      <c r="I145" s="84"/>
      <c r="J145" s="85"/>
      <c r="K145" s="82" t="str">
        <f t="shared" si="3"/>
        <v/>
      </c>
      <c r="M145" s="1"/>
      <c r="N145" s="1"/>
      <c r="O145" s="1"/>
      <c r="P145" s="1"/>
      <c r="Q145" s="1"/>
      <c r="S145" s="63">
        <v>584</v>
      </c>
    </row>
    <row r="146" spans="2:19">
      <c r="B146" s="125" t="e">
        <f>#REF! &amp;"_"&amp;S145</f>
        <v>#REF!</v>
      </c>
      <c r="C146" s="214"/>
      <c r="D146" s="214"/>
      <c r="E146" s="82"/>
      <c r="F146" s="82"/>
      <c r="G146" s="83"/>
      <c r="H146" s="84"/>
      <c r="I146" s="84"/>
      <c r="J146" s="85"/>
      <c r="K146" s="82" t="str">
        <f t="shared" si="3"/>
        <v/>
      </c>
      <c r="M146" s="1"/>
      <c r="N146" s="1"/>
      <c r="O146" s="1"/>
      <c r="P146" s="1"/>
      <c r="Q146" s="1"/>
      <c r="S146" s="63">
        <v>585</v>
      </c>
    </row>
    <row r="147" spans="2:19">
      <c r="B147" s="125" t="e">
        <f>#REF! &amp;"_"&amp;S146</f>
        <v>#REF!</v>
      </c>
      <c r="C147" s="214"/>
      <c r="D147" s="214"/>
      <c r="E147" s="82"/>
      <c r="F147" s="82"/>
      <c r="G147" s="83"/>
      <c r="H147" s="84"/>
      <c r="I147" s="84"/>
      <c r="J147" s="85"/>
      <c r="K147" s="82" t="str">
        <f t="shared" si="3"/>
        <v/>
      </c>
      <c r="M147" s="1"/>
      <c r="N147" s="1"/>
      <c r="O147" s="1"/>
      <c r="P147" s="1"/>
      <c r="Q147" s="1"/>
      <c r="S147" s="63">
        <v>586</v>
      </c>
    </row>
    <row r="148" spans="2:19">
      <c r="B148" s="125" t="e">
        <f>#REF! &amp;"_"&amp;S147</f>
        <v>#REF!</v>
      </c>
      <c r="C148" s="214"/>
      <c r="D148" s="214"/>
      <c r="E148" s="82"/>
      <c r="F148" s="82"/>
      <c r="G148" s="83"/>
      <c r="H148" s="84"/>
      <c r="I148" s="84"/>
      <c r="J148" s="85"/>
      <c r="K148" s="82" t="str">
        <f t="shared" si="3"/>
        <v/>
      </c>
      <c r="M148" s="1"/>
      <c r="N148" s="1"/>
      <c r="O148" s="1"/>
      <c r="P148" s="1"/>
      <c r="Q148" s="1"/>
      <c r="S148" s="63">
        <v>587</v>
      </c>
    </row>
    <row r="149" spans="2:19">
      <c r="B149" s="125" t="e">
        <f>#REF! &amp;"_"&amp;S148</f>
        <v>#REF!</v>
      </c>
      <c r="C149" s="214"/>
      <c r="D149" s="214"/>
      <c r="E149" s="82"/>
      <c r="F149" s="82"/>
      <c r="G149" s="83"/>
      <c r="H149" s="84"/>
      <c r="I149" s="84"/>
      <c r="J149" s="85"/>
      <c r="K149" s="82" t="str">
        <f t="shared" si="3"/>
        <v/>
      </c>
      <c r="M149" s="1"/>
      <c r="N149" s="1"/>
      <c r="O149" s="1"/>
      <c r="P149" s="1"/>
      <c r="Q149" s="1"/>
      <c r="S149" s="63">
        <v>588</v>
      </c>
    </row>
    <row r="150" spans="2:19">
      <c r="B150" s="125" t="e">
        <f>#REF! &amp;"_"&amp;S149</f>
        <v>#REF!</v>
      </c>
      <c r="C150" s="214"/>
      <c r="D150" s="214"/>
      <c r="E150" s="82"/>
      <c r="F150" s="82"/>
      <c r="G150" s="83"/>
      <c r="H150" s="84"/>
      <c r="I150" s="84"/>
      <c r="J150" s="85"/>
      <c r="K150" s="82" t="str">
        <f t="shared" si="3"/>
        <v/>
      </c>
      <c r="M150" s="1"/>
      <c r="N150" s="1"/>
      <c r="O150" s="1"/>
      <c r="P150" s="1"/>
      <c r="Q150" s="1"/>
      <c r="S150" s="63">
        <v>589</v>
      </c>
    </row>
    <row r="151" spans="2:19">
      <c r="B151" s="125" t="e">
        <f>#REF! &amp;"_"&amp;S150</f>
        <v>#REF!</v>
      </c>
      <c r="C151" s="214"/>
      <c r="D151" s="214"/>
      <c r="E151" s="82"/>
      <c r="F151" s="82"/>
      <c r="G151" s="83"/>
      <c r="H151" s="84"/>
      <c r="I151" s="84"/>
      <c r="J151" s="85"/>
      <c r="K151" s="82" t="str">
        <f t="shared" si="3"/>
        <v/>
      </c>
      <c r="M151" s="1"/>
      <c r="N151" s="1"/>
      <c r="O151" s="1"/>
      <c r="P151" s="1"/>
      <c r="Q151" s="1"/>
      <c r="S151" s="63">
        <v>590</v>
      </c>
    </row>
    <row r="152" spans="2:19">
      <c r="B152" s="125" t="e">
        <f>#REF! &amp;"_"&amp;S151</f>
        <v>#REF!</v>
      </c>
      <c r="C152" s="214"/>
      <c r="D152" s="214"/>
      <c r="E152" s="82"/>
      <c r="F152" s="82"/>
      <c r="G152" s="83"/>
      <c r="H152" s="84"/>
      <c r="I152" s="84"/>
      <c r="J152" s="85"/>
      <c r="K152" s="82" t="str">
        <f t="shared" si="3"/>
        <v/>
      </c>
      <c r="M152" s="1"/>
      <c r="N152" s="1"/>
      <c r="O152" s="1"/>
      <c r="P152" s="1"/>
      <c r="Q152" s="1"/>
      <c r="S152" s="63">
        <v>591</v>
      </c>
    </row>
    <row r="153" spans="2:19">
      <c r="B153" s="125" t="e">
        <f>#REF! &amp;"_"&amp;S152</f>
        <v>#REF!</v>
      </c>
      <c r="C153" s="214"/>
      <c r="D153" s="214"/>
      <c r="E153" s="82"/>
      <c r="F153" s="82"/>
      <c r="G153" s="83"/>
      <c r="H153" s="84"/>
      <c r="I153" s="84"/>
      <c r="J153" s="85"/>
      <c r="K153" s="82" t="str">
        <f t="shared" si="3"/>
        <v/>
      </c>
      <c r="M153" s="1"/>
      <c r="N153" s="1"/>
      <c r="O153" s="1"/>
      <c r="P153" s="1"/>
      <c r="Q153" s="1"/>
      <c r="S153" s="63">
        <v>592</v>
      </c>
    </row>
    <row r="154" spans="2:19">
      <c r="B154" s="125" t="e">
        <f>#REF! &amp;"_"&amp;S153</f>
        <v>#REF!</v>
      </c>
      <c r="C154" s="214"/>
      <c r="D154" s="214"/>
      <c r="E154" s="82"/>
      <c r="F154" s="82"/>
      <c r="G154" s="83"/>
      <c r="H154" s="84"/>
      <c r="I154" s="84"/>
      <c r="J154" s="85"/>
      <c r="K154" s="82" t="str">
        <f t="shared" si="3"/>
        <v/>
      </c>
      <c r="M154" s="1"/>
      <c r="N154" s="1"/>
      <c r="O154" s="1"/>
      <c r="P154" s="1"/>
      <c r="Q154" s="1"/>
      <c r="S154" s="63">
        <v>593</v>
      </c>
    </row>
    <row r="155" spans="2:19">
      <c r="B155" s="125" t="e">
        <f>#REF! &amp;"_"&amp;S154</f>
        <v>#REF!</v>
      </c>
      <c r="C155" s="214"/>
      <c r="D155" s="214"/>
      <c r="E155" s="82"/>
      <c r="F155" s="82"/>
      <c r="G155" s="83"/>
      <c r="H155" s="84"/>
      <c r="I155" s="84"/>
      <c r="J155" s="85"/>
      <c r="K155" s="82" t="str">
        <f t="shared" si="3"/>
        <v/>
      </c>
      <c r="M155" s="1"/>
      <c r="N155" s="1"/>
      <c r="O155" s="1"/>
      <c r="P155" s="1"/>
      <c r="Q155" s="1"/>
      <c r="S155" s="63">
        <v>594</v>
      </c>
    </row>
    <row r="156" spans="2:19">
      <c r="B156" s="125" t="e">
        <f>#REF! &amp;"_"&amp;S155</f>
        <v>#REF!</v>
      </c>
      <c r="C156" s="214"/>
      <c r="D156" s="214"/>
      <c r="E156" s="82"/>
      <c r="F156" s="82"/>
      <c r="G156" s="83"/>
      <c r="H156" s="84"/>
      <c r="I156" s="84"/>
      <c r="J156" s="85"/>
      <c r="K156" s="82" t="str">
        <f t="shared" si="3"/>
        <v/>
      </c>
      <c r="M156" s="1"/>
      <c r="N156" s="1"/>
      <c r="O156" s="1"/>
      <c r="P156" s="1"/>
      <c r="Q156" s="1"/>
      <c r="S156" s="63">
        <v>595</v>
      </c>
    </row>
    <row r="157" spans="2:19">
      <c r="B157" s="125" t="e">
        <f>#REF! &amp;"_"&amp;S156</f>
        <v>#REF!</v>
      </c>
      <c r="C157" s="214"/>
      <c r="D157" s="214"/>
      <c r="E157" s="82"/>
      <c r="F157" s="82"/>
      <c r="G157" s="83"/>
      <c r="H157" s="84"/>
      <c r="I157" s="84"/>
      <c r="J157" s="85"/>
      <c r="K157" s="82" t="str">
        <f t="shared" si="3"/>
        <v/>
      </c>
      <c r="M157" s="1"/>
      <c r="N157" s="1"/>
      <c r="O157" s="1"/>
      <c r="P157" s="1"/>
      <c r="Q157" s="1"/>
      <c r="S157" s="63">
        <v>596</v>
      </c>
    </row>
    <row r="158" spans="2:19">
      <c r="B158" s="125" t="e">
        <f>#REF! &amp;"_"&amp;S157</f>
        <v>#REF!</v>
      </c>
      <c r="C158" s="214"/>
      <c r="D158" s="214"/>
      <c r="E158" s="82"/>
      <c r="F158" s="82"/>
      <c r="G158" s="83"/>
      <c r="H158" s="84"/>
      <c r="I158" s="84"/>
      <c r="J158" s="85"/>
      <c r="K158" s="82" t="str">
        <f t="shared" si="3"/>
        <v/>
      </c>
      <c r="M158" s="1"/>
      <c r="N158" s="1"/>
      <c r="O158" s="1"/>
      <c r="P158" s="1"/>
      <c r="Q158" s="1"/>
      <c r="S158" s="63">
        <v>597</v>
      </c>
    </row>
    <row r="159" spans="2:19">
      <c r="B159" s="125" t="e">
        <f>#REF! &amp;"_"&amp;S158</f>
        <v>#REF!</v>
      </c>
      <c r="C159" s="214"/>
      <c r="D159" s="214"/>
      <c r="E159" s="82"/>
      <c r="F159" s="82"/>
      <c r="G159" s="83"/>
      <c r="H159" s="84"/>
      <c r="I159" s="84"/>
      <c r="J159" s="85"/>
      <c r="K159" s="82" t="str">
        <f t="shared" si="3"/>
        <v/>
      </c>
      <c r="M159" s="1"/>
      <c r="N159" s="1"/>
      <c r="O159" s="1"/>
      <c r="P159" s="1"/>
      <c r="Q159" s="1"/>
      <c r="S159" s="63">
        <v>598</v>
      </c>
    </row>
    <row r="160" spans="2:19">
      <c r="B160" s="125" t="e">
        <f>#REF! &amp;"_"&amp;S159</f>
        <v>#REF!</v>
      </c>
      <c r="C160" s="214"/>
      <c r="D160" s="214"/>
      <c r="E160" s="82"/>
      <c r="F160" s="82"/>
      <c r="G160" s="83"/>
      <c r="H160" s="84"/>
      <c r="I160" s="84"/>
      <c r="J160" s="85"/>
      <c r="K160" s="82" t="str">
        <f t="shared" si="3"/>
        <v/>
      </c>
      <c r="M160" s="1"/>
      <c r="N160" s="1"/>
      <c r="O160" s="1"/>
      <c r="P160" s="1"/>
      <c r="Q160" s="1"/>
      <c r="S160" s="63">
        <v>599</v>
      </c>
    </row>
    <row r="161" spans="2:19">
      <c r="B161" s="125" t="e">
        <f>#REF! &amp;"_"&amp;S160</f>
        <v>#REF!</v>
      </c>
      <c r="C161" s="214"/>
      <c r="D161" s="214"/>
      <c r="E161" s="82"/>
      <c r="F161" s="82"/>
      <c r="G161" s="83"/>
      <c r="H161" s="84"/>
      <c r="I161" s="84"/>
      <c r="J161" s="85"/>
      <c r="K161" s="82" t="str">
        <f t="shared" si="3"/>
        <v/>
      </c>
      <c r="M161" s="1"/>
      <c r="N161" s="1"/>
      <c r="O161" s="1"/>
      <c r="P161" s="1"/>
      <c r="Q161" s="1"/>
      <c r="S161" s="63">
        <v>600</v>
      </c>
    </row>
    <row r="162" spans="2:19">
      <c r="B162" s="125" t="e">
        <f>#REF! &amp;"_"&amp;S161</f>
        <v>#REF!</v>
      </c>
      <c r="C162" s="214"/>
      <c r="D162" s="214"/>
      <c r="E162" s="82"/>
      <c r="F162" s="82"/>
      <c r="G162" s="83"/>
      <c r="H162" s="84"/>
      <c r="I162" s="84"/>
      <c r="J162" s="85"/>
      <c r="K162" s="82" t="str">
        <f t="shared" si="3"/>
        <v/>
      </c>
      <c r="M162" s="1"/>
      <c r="N162" s="1"/>
      <c r="O162" s="1"/>
      <c r="P162" s="1"/>
      <c r="Q162" s="1"/>
      <c r="S162" s="63">
        <v>601</v>
      </c>
    </row>
    <row r="163" spans="2:19">
      <c r="B163" s="125" t="e">
        <f>#REF! &amp;"_"&amp;S162</f>
        <v>#REF!</v>
      </c>
      <c r="C163" s="214"/>
      <c r="D163" s="214"/>
      <c r="E163" s="82"/>
      <c r="F163" s="82"/>
      <c r="G163" s="83"/>
      <c r="H163" s="84"/>
      <c r="I163" s="84"/>
      <c r="J163" s="85"/>
      <c r="K163" s="82" t="str">
        <f t="shared" si="3"/>
        <v/>
      </c>
      <c r="M163" s="1"/>
      <c r="N163" s="1"/>
      <c r="O163" s="1"/>
      <c r="P163" s="1"/>
      <c r="Q163" s="1"/>
      <c r="S163" s="63">
        <v>602</v>
      </c>
    </row>
    <row r="164" spans="2:19">
      <c r="B164" s="125" t="e">
        <f>#REF! &amp;"_"&amp;S163</f>
        <v>#REF!</v>
      </c>
      <c r="C164" s="214"/>
      <c r="D164" s="214"/>
      <c r="E164" s="82"/>
      <c r="F164" s="82"/>
      <c r="G164" s="83"/>
      <c r="H164" s="84"/>
      <c r="I164" s="84"/>
      <c r="J164" s="85"/>
      <c r="K164" s="82" t="str">
        <f t="shared" si="3"/>
        <v/>
      </c>
      <c r="M164" s="1"/>
      <c r="N164" s="1"/>
      <c r="O164" s="1"/>
      <c r="P164" s="1"/>
      <c r="Q164" s="1"/>
      <c r="S164" s="63">
        <v>603</v>
      </c>
    </row>
    <row r="165" spans="2:19">
      <c r="B165" s="125" t="e">
        <f>#REF! &amp;"_"&amp;S164</f>
        <v>#REF!</v>
      </c>
      <c r="C165" s="214"/>
      <c r="D165" s="214"/>
      <c r="E165" s="82"/>
      <c r="F165" s="82"/>
      <c r="G165" s="83"/>
      <c r="H165" s="84"/>
      <c r="I165" s="84"/>
      <c r="J165" s="85"/>
      <c r="K165" s="82" t="str">
        <f t="shared" si="3"/>
        <v/>
      </c>
      <c r="M165" s="1"/>
      <c r="N165" s="1"/>
      <c r="O165" s="1"/>
      <c r="P165" s="1"/>
      <c r="Q165" s="1"/>
      <c r="S165" s="63">
        <v>604</v>
      </c>
    </row>
    <row r="166" spans="2:19">
      <c r="B166" s="125" t="e">
        <f>#REF! &amp;"_"&amp;S165</f>
        <v>#REF!</v>
      </c>
      <c r="C166" s="214"/>
      <c r="D166" s="214"/>
      <c r="E166" s="82"/>
      <c r="F166" s="82"/>
      <c r="G166" s="83"/>
      <c r="H166" s="84"/>
      <c r="I166" s="84"/>
      <c r="J166" s="85"/>
      <c r="K166" s="82" t="str">
        <f t="shared" si="3"/>
        <v/>
      </c>
      <c r="M166" s="1"/>
      <c r="N166" s="1"/>
      <c r="O166" s="1"/>
      <c r="P166" s="1"/>
      <c r="Q166" s="1"/>
      <c r="S166" s="63">
        <v>605</v>
      </c>
    </row>
    <row r="167" spans="2:19">
      <c r="B167" s="125" t="e">
        <f>#REF! &amp;"_"&amp;S166</f>
        <v>#REF!</v>
      </c>
      <c r="C167" s="214"/>
      <c r="D167" s="214"/>
      <c r="E167" s="82"/>
      <c r="F167" s="82"/>
      <c r="G167" s="83"/>
      <c r="H167" s="84"/>
      <c r="I167" s="84"/>
      <c r="J167" s="85"/>
      <c r="K167" s="82" t="str">
        <f t="shared" si="3"/>
        <v/>
      </c>
      <c r="M167" s="1"/>
      <c r="N167" s="1"/>
      <c r="O167" s="1"/>
      <c r="P167" s="1"/>
      <c r="Q167" s="1"/>
      <c r="S167" s="63">
        <v>606</v>
      </c>
    </row>
    <row r="168" spans="2:19">
      <c r="B168" s="125" t="e">
        <f>#REF! &amp;"_"&amp;S167</f>
        <v>#REF!</v>
      </c>
      <c r="C168" s="214"/>
      <c r="D168" s="214"/>
      <c r="E168" s="82"/>
      <c r="F168" s="82"/>
      <c r="G168" s="83"/>
      <c r="H168" s="84"/>
      <c r="I168" s="84"/>
      <c r="J168" s="85"/>
      <c r="K168" s="82" t="str">
        <f t="shared" si="3"/>
        <v/>
      </c>
      <c r="M168" s="1"/>
      <c r="N168" s="1"/>
      <c r="O168" s="1"/>
      <c r="P168" s="1"/>
      <c r="Q168" s="1"/>
      <c r="S168" s="63">
        <v>607</v>
      </c>
    </row>
    <row r="169" spans="2:19">
      <c r="B169" s="125" t="e">
        <f>#REF! &amp;"_"&amp;S168</f>
        <v>#REF!</v>
      </c>
      <c r="C169" s="214"/>
      <c r="D169" s="214"/>
      <c r="E169" s="82"/>
      <c r="F169" s="82"/>
      <c r="G169" s="83"/>
      <c r="H169" s="84"/>
      <c r="I169" s="84"/>
      <c r="J169" s="85"/>
      <c r="K169" s="82" t="str">
        <f t="shared" si="3"/>
        <v/>
      </c>
      <c r="M169" s="1"/>
      <c r="N169" s="1"/>
      <c r="O169" s="1"/>
      <c r="P169" s="1"/>
      <c r="Q169" s="1"/>
      <c r="S169" s="63">
        <v>608</v>
      </c>
    </row>
    <row r="170" spans="2:19">
      <c r="B170" s="125" t="e">
        <f>#REF! &amp;"_"&amp;S169</f>
        <v>#REF!</v>
      </c>
      <c r="C170" s="214"/>
      <c r="D170" s="214"/>
      <c r="E170" s="82"/>
      <c r="F170" s="82"/>
      <c r="G170" s="83"/>
      <c r="H170" s="84"/>
      <c r="I170" s="84"/>
      <c r="J170" s="85"/>
      <c r="K170" s="82" t="str">
        <f t="shared" si="3"/>
        <v/>
      </c>
      <c r="M170" s="1"/>
      <c r="N170" s="1"/>
      <c r="O170" s="1"/>
      <c r="P170" s="1"/>
      <c r="Q170" s="1"/>
      <c r="S170" s="63">
        <v>609</v>
      </c>
    </row>
    <row r="171" spans="2:19">
      <c r="B171" s="125" t="e">
        <f>#REF! &amp;"_"&amp;S170</f>
        <v>#REF!</v>
      </c>
      <c r="C171" s="214"/>
      <c r="D171" s="214"/>
      <c r="E171" s="82"/>
      <c r="F171" s="82"/>
      <c r="G171" s="83"/>
      <c r="H171" s="84"/>
      <c r="I171" s="84"/>
      <c r="J171" s="85"/>
      <c r="K171" s="82" t="str">
        <f t="shared" si="3"/>
        <v/>
      </c>
      <c r="M171" s="1"/>
      <c r="N171" s="1"/>
      <c r="O171" s="1"/>
      <c r="P171" s="1"/>
      <c r="Q171" s="1"/>
      <c r="S171" s="63">
        <v>610</v>
      </c>
    </row>
    <row r="172" spans="2:19">
      <c r="B172" s="125" t="e">
        <f>#REF! &amp;"_"&amp;S171</f>
        <v>#REF!</v>
      </c>
      <c r="C172" s="214"/>
      <c r="D172" s="214"/>
      <c r="E172" s="82"/>
      <c r="F172" s="82"/>
      <c r="G172" s="83"/>
      <c r="H172" s="84"/>
      <c r="I172" s="84"/>
      <c r="J172" s="85"/>
      <c r="K172" s="82" t="str">
        <f t="shared" si="3"/>
        <v/>
      </c>
      <c r="M172" s="1"/>
      <c r="N172" s="1"/>
      <c r="O172" s="1"/>
      <c r="P172" s="1"/>
      <c r="Q172" s="1"/>
      <c r="S172" s="63">
        <v>611</v>
      </c>
    </row>
    <row r="173" spans="2:19">
      <c r="B173" s="125" t="e">
        <f>#REF! &amp;"_"&amp;S172</f>
        <v>#REF!</v>
      </c>
      <c r="C173" s="214"/>
      <c r="D173" s="214"/>
      <c r="E173" s="82"/>
      <c r="F173" s="82"/>
      <c r="G173" s="83"/>
      <c r="H173" s="84"/>
      <c r="I173" s="84"/>
      <c r="J173" s="85"/>
      <c r="K173" s="82" t="str">
        <f t="shared" si="3"/>
        <v/>
      </c>
      <c r="M173" s="1"/>
      <c r="N173" s="1"/>
      <c r="O173" s="1"/>
      <c r="P173" s="1"/>
      <c r="Q173" s="1"/>
      <c r="S173" s="63">
        <v>612</v>
      </c>
    </row>
    <row r="174" spans="2:19">
      <c r="B174" s="125" t="e">
        <f>#REF! &amp;"_"&amp;S173</f>
        <v>#REF!</v>
      </c>
      <c r="C174" s="214"/>
      <c r="D174" s="214"/>
      <c r="E174" s="82"/>
      <c r="F174" s="82"/>
      <c r="G174" s="83"/>
      <c r="H174" s="84"/>
      <c r="I174" s="84"/>
      <c r="J174" s="85"/>
      <c r="K174" s="82" t="str">
        <f t="shared" si="3"/>
        <v/>
      </c>
      <c r="M174" s="1"/>
      <c r="N174" s="1"/>
      <c r="O174" s="1"/>
      <c r="P174" s="1"/>
      <c r="Q174" s="1"/>
      <c r="S174" s="63">
        <v>613</v>
      </c>
    </row>
    <row r="175" spans="2:19">
      <c r="B175" s="125" t="e">
        <f>#REF! &amp;"_"&amp;S174</f>
        <v>#REF!</v>
      </c>
      <c r="C175" s="214"/>
      <c r="D175" s="214"/>
      <c r="E175" s="82"/>
      <c r="F175" s="82"/>
      <c r="G175" s="83"/>
      <c r="H175" s="84"/>
      <c r="I175" s="84"/>
      <c r="J175" s="85"/>
      <c r="K175" s="82" t="str">
        <f t="shared" si="3"/>
        <v/>
      </c>
      <c r="M175" s="1"/>
      <c r="N175" s="1"/>
      <c r="O175" s="1"/>
      <c r="P175" s="1"/>
      <c r="Q175" s="1"/>
      <c r="S175" s="63">
        <v>614</v>
      </c>
    </row>
    <row r="176" spans="2:19">
      <c r="B176" s="125" t="e">
        <f>#REF! &amp;"_"&amp;S175</f>
        <v>#REF!</v>
      </c>
      <c r="C176" s="214"/>
      <c r="D176" s="214"/>
      <c r="E176" s="82"/>
      <c r="F176" s="82"/>
      <c r="G176" s="83"/>
      <c r="H176" s="84"/>
      <c r="I176" s="84"/>
      <c r="J176" s="85"/>
      <c r="K176" s="82" t="str">
        <f t="shared" si="3"/>
        <v/>
      </c>
      <c r="M176" s="1"/>
      <c r="N176" s="1"/>
      <c r="O176" s="1"/>
      <c r="P176" s="1"/>
      <c r="Q176" s="1"/>
      <c r="S176" s="63">
        <v>615</v>
      </c>
    </row>
    <row r="177" spans="2:19">
      <c r="B177" s="125" t="e">
        <f>#REF! &amp;"_"&amp;S176</f>
        <v>#REF!</v>
      </c>
      <c r="C177" s="214"/>
      <c r="D177" s="214"/>
      <c r="E177" s="82"/>
      <c r="F177" s="82"/>
      <c r="G177" s="83"/>
      <c r="H177" s="84"/>
      <c r="I177" s="84"/>
      <c r="J177" s="85"/>
      <c r="K177" s="82" t="str">
        <f t="shared" si="3"/>
        <v/>
      </c>
      <c r="M177" s="1"/>
      <c r="N177" s="1"/>
      <c r="O177" s="1"/>
      <c r="P177" s="1"/>
      <c r="Q177" s="1"/>
      <c r="S177" s="63">
        <v>616</v>
      </c>
    </row>
    <row r="178" spans="2:19">
      <c r="B178" s="125" t="e">
        <f>#REF! &amp;"_"&amp;S177</f>
        <v>#REF!</v>
      </c>
      <c r="C178" s="214"/>
      <c r="D178" s="214"/>
      <c r="E178" s="82"/>
      <c r="F178" s="82"/>
      <c r="G178" s="83"/>
      <c r="H178" s="84"/>
      <c r="I178" s="84"/>
      <c r="J178" s="85"/>
      <c r="K178" s="82" t="str">
        <f t="shared" si="3"/>
        <v/>
      </c>
      <c r="M178" s="1"/>
      <c r="N178" s="1"/>
      <c r="O178" s="1"/>
      <c r="P178" s="1"/>
      <c r="Q178" s="1"/>
      <c r="S178" s="63">
        <v>617</v>
      </c>
    </row>
    <row r="179" spans="2:19">
      <c r="B179" s="125" t="e">
        <f>#REF! &amp;"_"&amp;S178</f>
        <v>#REF!</v>
      </c>
      <c r="C179" s="214"/>
      <c r="D179" s="214"/>
      <c r="E179" s="82"/>
      <c r="F179" s="82"/>
      <c r="G179" s="83"/>
      <c r="H179" s="84"/>
      <c r="I179" s="84"/>
      <c r="J179" s="85"/>
      <c r="K179" s="82" t="str">
        <f t="shared" si="3"/>
        <v/>
      </c>
      <c r="M179" s="1"/>
      <c r="N179" s="1"/>
      <c r="O179" s="1"/>
      <c r="P179" s="1"/>
      <c r="Q179" s="1"/>
      <c r="S179" s="63">
        <v>618</v>
      </c>
    </row>
    <row r="180" spans="2:19">
      <c r="B180" s="125" t="e">
        <f>#REF! &amp;"_"&amp;S179</f>
        <v>#REF!</v>
      </c>
      <c r="C180" s="214"/>
      <c r="D180" s="214"/>
      <c r="E180" s="82"/>
      <c r="F180" s="82"/>
      <c r="G180" s="83"/>
      <c r="H180" s="84"/>
      <c r="I180" s="84"/>
      <c r="J180" s="85"/>
      <c r="K180" s="82" t="str">
        <f t="shared" si="3"/>
        <v/>
      </c>
      <c r="M180" s="1"/>
      <c r="N180" s="1"/>
      <c r="O180" s="1"/>
      <c r="P180" s="1"/>
      <c r="Q180" s="1"/>
      <c r="S180" s="63">
        <v>619</v>
      </c>
    </row>
    <row r="181" spans="2:19">
      <c r="B181" s="125" t="e">
        <f>#REF! &amp;"_"&amp;S180</f>
        <v>#REF!</v>
      </c>
      <c r="C181" s="214"/>
      <c r="D181" s="214"/>
      <c r="E181" s="82"/>
      <c r="F181" s="82"/>
      <c r="G181" s="83"/>
      <c r="H181" s="84"/>
      <c r="I181" s="84"/>
      <c r="J181" s="85"/>
      <c r="K181" s="82" t="str">
        <f t="shared" si="3"/>
        <v/>
      </c>
      <c r="M181" s="1"/>
      <c r="N181" s="1"/>
      <c r="O181" s="1"/>
      <c r="P181" s="1"/>
      <c r="Q181" s="1"/>
      <c r="S181" s="63">
        <v>620</v>
      </c>
    </row>
    <row r="182" spans="2:19">
      <c r="B182" s="125" t="e">
        <f>#REF! &amp;"_"&amp;S181</f>
        <v>#REF!</v>
      </c>
      <c r="C182" s="214"/>
      <c r="D182" s="214"/>
      <c r="E182" s="82"/>
      <c r="F182" s="82"/>
      <c r="G182" s="83"/>
      <c r="H182" s="84"/>
      <c r="I182" s="84"/>
      <c r="J182" s="85"/>
      <c r="K182" s="82" t="str">
        <f t="shared" si="3"/>
        <v/>
      </c>
      <c r="M182" s="1"/>
      <c r="N182" s="1"/>
      <c r="O182" s="1"/>
      <c r="P182" s="1"/>
      <c r="Q182" s="1"/>
      <c r="S182" s="63">
        <v>621</v>
      </c>
    </row>
    <row r="183" spans="2:19">
      <c r="B183" s="125" t="e">
        <f>#REF! &amp;"_"&amp;S182</f>
        <v>#REF!</v>
      </c>
      <c r="C183" s="214"/>
      <c r="D183" s="214"/>
      <c r="E183" s="82"/>
      <c r="F183" s="82"/>
      <c r="G183" s="83"/>
      <c r="H183" s="84"/>
      <c r="I183" s="84"/>
      <c r="J183" s="85"/>
      <c r="K183" s="82" t="str">
        <f t="shared" si="3"/>
        <v/>
      </c>
      <c r="M183" s="1"/>
      <c r="N183" s="1"/>
      <c r="O183" s="1"/>
      <c r="P183" s="1"/>
      <c r="Q183" s="1"/>
      <c r="S183" s="63">
        <v>622</v>
      </c>
    </row>
    <row r="184" spans="2:19">
      <c r="B184" s="125" t="e">
        <f>#REF! &amp;"_"&amp;S183</f>
        <v>#REF!</v>
      </c>
      <c r="C184" s="214"/>
      <c r="D184" s="214"/>
      <c r="E184" s="82"/>
      <c r="F184" s="82"/>
      <c r="G184" s="83"/>
      <c r="H184" s="84"/>
      <c r="I184" s="84"/>
      <c r="J184" s="85"/>
      <c r="K184" s="82" t="str">
        <f t="shared" si="3"/>
        <v/>
      </c>
      <c r="M184" s="1"/>
      <c r="N184" s="1"/>
      <c r="O184" s="1"/>
      <c r="P184" s="1"/>
      <c r="Q184" s="1"/>
      <c r="S184" s="63">
        <v>623</v>
      </c>
    </row>
    <row r="185" spans="2:19">
      <c r="B185" s="125" t="e">
        <f>#REF! &amp;"_"&amp;S184</f>
        <v>#REF!</v>
      </c>
      <c r="C185" s="214"/>
      <c r="D185" s="214"/>
      <c r="E185" s="82"/>
      <c r="F185" s="82"/>
      <c r="G185" s="83"/>
      <c r="H185" s="84"/>
      <c r="I185" s="84"/>
      <c r="J185" s="85"/>
      <c r="K185" s="82" t="str">
        <f t="shared" si="3"/>
        <v/>
      </c>
      <c r="M185" s="1"/>
      <c r="N185" s="1"/>
      <c r="O185" s="1"/>
      <c r="P185" s="1"/>
      <c r="Q185" s="1"/>
      <c r="S185" s="63">
        <v>624</v>
      </c>
    </row>
    <row r="186" spans="2:19">
      <c r="B186" s="125" t="e">
        <f>#REF! &amp;"_"&amp;S185</f>
        <v>#REF!</v>
      </c>
      <c r="C186" s="214"/>
      <c r="D186" s="214"/>
      <c r="E186" s="82"/>
      <c r="F186" s="82"/>
      <c r="G186" s="83"/>
      <c r="H186" s="84"/>
      <c r="I186" s="84"/>
      <c r="J186" s="85"/>
      <c r="K186" s="82" t="str">
        <f t="shared" si="3"/>
        <v/>
      </c>
      <c r="M186" s="1"/>
      <c r="N186" s="1"/>
      <c r="O186" s="1"/>
      <c r="P186" s="1"/>
      <c r="Q186" s="1"/>
      <c r="S186" s="63">
        <v>625</v>
      </c>
    </row>
    <row r="187" spans="2:19">
      <c r="B187" s="125" t="e">
        <f>#REF! &amp;"_"&amp;S186</f>
        <v>#REF!</v>
      </c>
      <c r="C187" s="214"/>
      <c r="D187" s="214"/>
      <c r="E187" s="82"/>
      <c r="F187" s="82"/>
      <c r="G187" s="83"/>
      <c r="H187" s="84"/>
      <c r="I187" s="84"/>
      <c r="J187" s="85"/>
      <c r="K187" s="82" t="str">
        <f t="shared" si="3"/>
        <v/>
      </c>
      <c r="M187" s="1"/>
      <c r="N187" s="1"/>
      <c r="O187" s="1"/>
      <c r="P187" s="1"/>
      <c r="Q187" s="1"/>
      <c r="S187" s="63">
        <v>626</v>
      </c>
    </row>
    <row r="188" spans="2:19">
      <c r="B188" s="125" t="e">
        <f>#REF! &amp;"_"&amp;S187</f>
        <v>#REF!</v>
      </c>
      <c r="C188" s="214"/>
      <c r="D188" s="214"/>
      <c r="E188" s="82"/>
      <c r="F188" s="82"/>
      <c r="G188" s="83"/>
      <c r="H188" s="84"/>
      <c r="I188" s="84"/>
      <c r="J188" s="85"/>
      <c r="K188" s="82" t="str">
        <f t="shared" si="3"/>
        <v/>
      </c>
      <c r="M188" s="1"/>
      <c r="N188" s="1"/>
      <c r="O188" s="1"/>
      <c r="P188" s="1"/>
      <c r="Q188" s="1"/>
      <c r="S188" s="63">
        <v>627</v>
      </c>
    </row>
    <row r="189" spans="2:19">
      <c r="B189" s="125" t="e">
        <f>#REF! &amp;"_"&amp;S188</f>
        <v>#REF!</v>
      </c>
      <c r="C189" s="214"/>
      <c r="D189" s="214"/>
      <c r="E189" s="82"/>
      <c r="F189" s="82"/>
      <c r="G189" s="83"/>
      <c r="H189" s="84"/>
      <c r="I189" s="84"/>
      <c r="J189" s="85"/>
      <c r="K189" s="82" t="str">
        <f t="shared" si="3"/>
        <v/>
      </c>
      <c r="M189" s="1"/>
      <c r="N189" s="1"/>
      <c r="O189" s="1"/>
      <c r="P189" s="1"/>
      <c r="Q189" s="1"/>
      <c r="S189" s="63">
        <v>628</v>
      </c>
    </row>
    <row r="190" spans="2:19">
      <c r="B190" s="125" t="e">
        <f>#REF! &amp;"_"&amp;S189</f>
        <v>#REF!</v>
      </c>
      <c r="C190" s="214"/>
      <c r="D190" s="214"/>
      <c r="E190" s="82"/>
      <c r="F190" s="82"/>
      <c r="G190" s="83"/>
      <c r="H190" s="84"/>
      <c r="I190" s="84"/>
      <c r="J190" s="85"/>
      <c r="K190" s="82" t="str">
        <f t="shared" si="3"/>
        <v/>
      </c>
      <c r="M190" s="1"/>
      <c r="N190" s="1"/>
      <c r="O190" s="1"/>
      <c r="P190" s="1"/>
      <c r="Q190" s="1"/>
      <c r="S190" s="63">
        <v>629</v>
      </c>
    </row>
    <row r="191" spans="2:19">
      <c r="B191" s="125" t="e">
        <f>#REF! &amp;"_"&amp;S190</f>
        <v>#REF!</v>
      </c>
      <c r="C191" s="214"/>
      <c r="D191" s="214"/>
      <c r="E191" s="82"/>
      <c r="F191" s="82"/>
      <c r="G191" s="83"/>
      <c r="H191" s="84"/>
      <c r="I191" s="84"/>
      <c r="J191" s="85"/>
      <c r="K191" s="82" t="str">
        <f t="shared" si="3"/>
        <v/>
      </c>
      <c r="M191" s="1"/>
      <c r="N191" s="1"/>
      <c r="O191" s="1"/>
      <c r="P191" s="1"/>
      <c r="Q191" s="1"/>
      <c r="S191" s="63">
        <v>630</v>
      </c>
    </row>
    <row r="192" spans="2:19">
      <c r="B192" s="125" t="e">
        <f>#REF! &amp;"_"&amp;S191</f>
        <v>#REF!</v>
      </c>
      <c r="C192" s="214"/>
      <c r="D192" s="214"/>
      <c r="E192" s="82"/>
      <c r="F192" s="82"/>
      <c r="G192" s="83"/>
      <c r="H192" s="84"/>
      <c r="I192" s="84"/>
      <c r="J192" s="85"/>
      <c r="K192" s="82" t="str">
        <f t="shared" si="3"/>
        <v/>
      </c>
      <c r="M192" s="1"/>
      <c r="N192" s="1"/>
      <c r="O192" s="1"/>
      <c r="P192" s="1"/>
      <c r="Q192" s="1"/>
      <c r="S192" s="63">
        <v>631</v>
      </c>
    </row>
    <row r="193" spans="2:30">
      <c r="B193" s="125" t="e">
        <f>#REF! &amp;"_"&amp;S192</f>
        <v>#REF!</v>
      </c>
      <c r="C193" s="214"/>
      <c r="D193" s="214"/>
      <c r="E193" s="82"/>
      <c r="F193" s="82"/>
      <c r="G193" s="83"/>
      <c r="H193" s="84"/>
      <c r="I193" s="84"/>
      <c r="J193" s="85"/>
      <c r="K193" s="82" t="str">
        <f t="shared" si="3"/>
        <v/>
      </c>
      <c r="M193" s="1"/>
      <c r="N193" s="1"/>
      <c r="O193" s="1"/>
      <c r="P193" s="1"/>
      <c r="Q193" s="1"/>
      <c r="S193" s="63">
        <v>632</v>
      </c>
    </row>
    <row r="194" spans="2:30">
      <c r="B194" s="125" t="e">
        <f>#REF! &amp;"_"&amp;S193</f>
        <v>#REF!</v>
      </c>
      <c r="C194" s="214"/>
      <c r="D194" s="214"/>
      <c r="E194" s="82"/>
      <c r="F194" s="82"/>
      <c r="G194" s="83"/>
      <c r="H194" s="84"/>
      <c r="I194" s="84"/>
      <c r="J194" s="85"/>
      <c r="K194" s="82" t="str">
        <f t="shared" si="3"/>
        <v/>
      </c>
      <c r="M194" s="1"/>
      <c r="N194" s="1"/>
      <c r="O194" s="1"/>
      <c r="P194" s="1"/>
      <c r="Q194" s="1"/>
      <c r="S194" s="63">
        <v>633</v>
      </c>
    </row>
    <row r="195" spans="2:30">
      <c r="B195" s="125" t="e">
        <f>#REF! &amp;"_"&amp;S194</f>
        <v>#REF!</v>
      </c>
      <c r="C195" s="214"/>
      <c r="D195" s="214"/>
      <c r="E195" s="82"/>
      <c r="F195" s="82"/>
      <c r="G195" s="83"/>
      <c r="H195" s="84"/>
      <c r="I195" s="84"/>
      <c r="J195" s="85"/>
      <c r="K195" s="82" t="str">
        <f t="shared" si="3"/>
        <v/>
      </c>
      <c r="M195" s="1"/>
      <c r="N195" s="1"/>
      <c r="O195" s="1"/>
      <c r="P195" s="1"/>
      <c r="Q195" s="1"/>
      <c r="S195" s="63">
        <v>634</v>
      </c>
    </row>
    <row r="196" spans="2:30">
      <c r="B196" s="125" t="e">
        <f>#REF! &amp;"_"&amp;S195</f>
        <v>#REF!</v>
      </c>
      <c r="C196" s="214"/>
      <c r="D196" s="214"/>
      <c r="E196" s="82"/>
      <c r="F196" s="82"/>
      <c r="G196" s="83"/>
      <c r="H196" s="84"/>
      <c r="I196" s="84"/>
      <c r="J196" s="85"/>
      <c r="K196" s="82" t="str">
        <f t="shared" si="3"/>
        <v/>
      </c>
      <c r="M196" s="1"/>
      <c r="N196" s="1"/>
      <c r="O196" s="1"/>
      <c r="P196" s="1"/>
      <c r="Q196" s="1"/>
      <c r="S196" s="63">
        <v>635</v>
      </c>
    </row>
    <row r="197" spans="2:30">
      <c r="B197" s="125" t="e">
        <f>#REF! &amp;"_"&amp;S196</f>
        <v>#REF!</v>
      </c>
      <c r="C197" s="214"/>
      <c r="D197" s="214"/>
      <c r="E197" s="82"/>
      <c r="F197" s="82"/>
      <c r="G197" s="83"/>
      <c r="H197" s="84"/>
      <c r="I197" s="84"/>
      <c r="J197" s="85"/>
      <c r="K197" s="82" t="str">
        <f t="shared" si="3"/>
        <v/>
      </c>
      <c r="M197" s="1"/>
      <c r="N197" s="1"/>
      <c r="O197" s="1"/>
      <c r="P197" s="1"/>
      <c r="Q197" s="1"/>
      <c r="S197" s="63">
        <v>636</v>
      </c>
    </row>
    <row r="198" spans="2:30">
      <c r="B198" s="125" t="e">
        <f>#REF! &amp;"_"&amp;S197</f>
        <v>#REF!</v>
      </c>
      <c r="C198" s="214"/>
      <c r="D198" s="214"/>
      <c r="E198" s="82"/>
      <c r="F198" s="82"/>
      <c r="G198" s="83"/>
      <c r="H198" s="84"/>
      <c r="I198" s="84"/>
      <c r="J198" s="85"/>
      <c r="K198" s="82" t="str">
        <f t="shared" si="3"/>
        <v/>
      </c>
      <c r="M198" s="1"/>
      <c r="N198" s="1"/>
      <c r="O198" s="1"/>
      <c r="P198" s="1"/>
      <c r="Q198" s="1"/>
      <c r="S198" s="63">
        <v>637</v>
      </c>
    </row>
    <row r="199" spans="2:30">
      <c r="B199" s="125" t="e">
        <f>#REF! &amp;"_"&amp;S198</f>
        <v>#REF!</v>
      </c>
      <c r="C199" s="214"/>
      <c r="D199" s="214"/>
      <c r="E199" s="82"/>
      <c r="F199" s="82"/>
      <c r="G199" s="83"/>
      <c r="H199" s="84"/>
      <c r="I199" s="84"/>
      <c r="J199" s="85"/>
      <c r="K199" s="82" t="str">
        <f t="shared" si="3"/>
        <v/>
      </c>
      <c r="M199" s="1"/>
      <c r="N199" s="1"/>
      <c r="O199" s="1"/>
      <c r="P199" s="1"/>
      <c r="Q199" s="1"/>
      <c r="S199" s="63">
        <v>638</v>
      </c>
    </row>
    <row r="200" spans="2:30">
      <c r="B200" s="125" t="e">
        <f>#REF! &amp;"_"&amp;S199</f>
        <v>#REF!</v>
      </c>
      <c r="C200" s="214"/>
      <c r="D200" s="214"/>
      <c r="E200" s="82"/>
      <c r="F200" s="82"/>
      <c r="G200" s="83"/>
      <c r="H200" s="84"/>
      <c r="I200" s="84"/>
      <c r="J200" s="85"/>
      <c r="K200" s="82" t="str">
        <f t="shared" si="3"/>
        <v/>
      </c>
      <c r="M200" s="1"/>
      <c r="N200" s="1"/>
      <c r="O200" s="1"/>
      <c r="P200" s="1"/>
      <c r="Q200" s="1"/>
      <c r="S200" s="63">
        <v>639</v>
      </c>
    </row>
    <row r="201" spans="2:30">
      <c r="B201" s="125" t="e">
        <f>#REF! &amp;"_"&amp;S200</f>
        <v>#REF!</v>
      </c>
      <c r="C201" s="214"/>
      <c r="D201" s="214"/>
      <c r="E201" s="82"/>
      <c r="F201" s="82"/>
      <c r="G201" s="83"/>
      <c r="H201" s="84"/>
      <c r="I201" s="84"/>
      <c r="J201" s="85"/>
      <c r="K201" s="82" t="str">
        <f t="shared" si="3"/>
        <v/>
      </c>
      <c r="M201" s="1"/>
      <c r="N201" s="1"/>
      <c r="O201" s="1"/>
      <c r="P201" s="1"/>
      <c r="Q201" s="1"/>
      <c r="S201" s="63">
        <v>640</v>
      </c>
    </row>
    <row r="202" spans="2:30">
      <c r="B202" s="125" t="e">
        <f>#REF! &amp;"_"&amp;S201</f>
        <v>#REF!</v>
      </c>
      <c r="C202" s="214"/>
      <c r="D202" s="214"/>
      <c r="E202" s="82"/>
      <c r="F202" s="82"/>
      <c r="G202" s="83"/>
      <c r="H202" s="84"/>
      <c r="I202" s="84"/>
      <c r="J202" s="85"/>
      <c r="K202" s="82" t="str">
        <f t="shared" si="3"/>
        <v/>
      </c>
      <c r="M202" s="1"/>
      <c r="N202" s="1"/>
      <c r="O202" s="1"/>
      <c r="P202" s="1"/>
      <c r="Q202" s="1"/>
      <c r="S202" s="63">
        <v>641</v>
      </c>
    </row>
    <row r="203" spans="2:30">
      <c r="B203" s="125" t="e">
        <f>#REF! &amp;"_"&amp;S202</f>
        <v>#REF!</v>
      </c>
      <c r="C203" s="214"/>
      <c r="D203" s="214"/>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4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218</v>
      </c>
      <c r="W1" s="88" t="s">
        <v>209</v>
      </c>
      <c r="X1" s="88" t="s">
        <v>208</v>
      </c>
      <c r="Z1" s="88"/>
      <c r="AA1" s="88" t="s">
        <v>219</v>
      </c>
      <c r="AB1" s="88" t="s">
        <v>220</v>
      </c>
      <c r="AC1" s="88" t="str">
        <f>IF('Inspection Details'!J30="","",'Inspection Details'!J30)</f>
        <v>SM</v>
      </c>
      <c r="AD1" s="88">
        <f t="array" ref="AD1">IF(AC1="","",SUM(IF(LEFT($B$32:$B$1033,2)=AC1,1,0)))</f>
        <v>0</v>
      </c>
      <c r="AE1" s="88">
        <f t="array" ref="AE1">IF(AC1="","",SUM(IF(LEFT($B$32:$B$1032,2)=AC1,IF($H$32:$H$1032="ACC",1,0)+IF($H$32:$H$1032="REW",1,0))))</f>
        <v>0</v>
      </c>
      <c r="AF1" s="88" t="s">
        <v>221</v>
      </c>
      <c r="AG1" s="88" t="s">
        <v>162</v>
      </c>
      <c r="AH1" s="88"/>
      <c r="AI1" s="88"/>
      <c r="AJ1" s="88"/>
    </row>
    <row r="2" spans="2:36" ht="31.5" customHeight="1">
      <c r="B2" s="228" t="s">
        <v>222</v>
      </c>
      <c r="C2" s="228"/>
      <c r="D2" s="228"/>
      <c r="E2" s="228"/>
      <c r="F2" s="228"/>
      <c r="G2" s="228"/>
      <c r="H2" s="228"/>
      <c r="I2" s="228"/>
      <c r="J2" s="54"/>
      <c r="K2" s="54"/>
      <c r="L2" s="54"/>
      <c r="M2" s="54"/>
      <c r="O2" s="88" t="s">
        <v>22</v>
      </c>
      <c r="P2" s="88" t="s">
        <v>223</v>
      </c>
      <c r="Q2" s="88" t="s">
        <v>224</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225</v>
      </c>
      <c r="Q3" s="88" t="s">
        <v>225</v>
      </c>
      <c r="R3" s="88" t="s">
        <v>218</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9" t="s">
        <v>226</v>
      </c>
      <c r="C4" s="199"/>
      <c r="D4" s="98"/>
      <c r="E4" s="229" t="str">
        <f>'Inspection Details'!$F$8</f>
        <v>TFTP</v>
      </c>
      <c r="F4" s="229"/>
      <c r="G4" s="229"/>
      <c r="H4" s="98"/>
      <c r="I4" s="98"/>
      <c r="J4" s="54"/>
      <c r="K4" s="54"/>
      <c r="L4" s="54"/>
      <c r="M4" s="54"/>
      <c r="O4" s="88" t="s">
        <v>35</v>
      </c>
      <c r="P4" s="88" t="s">
        <v>227</v>
      </c>
      <c r="Q4" s="88" t="s">
        <v>227</v>
      </c>
      <c r="R4" s="88" t="s">
        <v>209</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170</v>
      </c>
      <c r="AH4" s="88"/>
      <c r="AI4" s="88"/>
      <c r="AJ4" s="88"/>
    </row>
    <row r="5" spans="2:36" ht="15" customHeight="1">
      <c r="B5" s="201" t="s">
        <v>171</v>
      </c>
      <c r="C5" s="201"/>
      <c r="D5" s="98"/>
      <c r="E5" s="230" t="str">
        <f>'Inspection Details'!$F$10</f>
        <v>Code</v>
      </c>
      <c r="F5" s="230"/>
      <c r="G5" s="230"/>
      <c r="H5" s="98"/>
      <c r="I5" s="98"/>
      <c r="J5" s="54"/>
      <c r="K5" s="54"/>
      <c r="L5" s="54"/>
      <c r="M5" s="54"/>
      <c r="O5" s="88" t="s">
        <v>11</v>
      </c>
      <c r="R5" s="88" t="s">
        <v>208</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172</v>
      </c>
      <c r="AH5" s="88"/>
      <c r="AI5" s="88"/>
      <c r="AJ5" s="88"/>
    </row>
    <row r="6" spans="2:36" ht="15" customHeight="1">
      <c r="B6" s="234" t="s">
        <v>228</v>
      </c>
      <c r="C6" s="234"/>
      <c r="D6" s="98"/>
      <c r="E6" s="235" t="str">
        <f>'Inspection Details'!$F$24</f>
        <v>NA</v>
      </c>
      <c r="F6" s="236"/>
      <c r="G6" s="236"/>
      <c r="H6" s="98"/>
      <c r="I6" s="99" t="s">
        <v>229</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174</v>
      </c>
      <c r="AH6" s="88"/>
      <c r="AI6" s="88"/>
      <c r="AJ6" s="88"/>
    </row>
    <row r="7" spans="2:36" ht="17.25" customHeight="1">
      <c r="B7" s="227" t="s">
        <v>230</v>
      </c>
      <c r="C7" s="227"/>
      <c r="D7" s="227"/>
      <c r="E7" s="227"/>
      <c r="F7" s="227"/>
      <c r="G7" s="227"/>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231</v>
      </c>
      <c r="AH7" s="88"/>
      <c r="AI7" s="88"/>
      <c r="AJ7" s="88"/>
    </row>
    <row r="8" spans="2:36">
      <c r="B8" s="199" t="s">
        <v>232</v>
      </c>
      <c r="C8" s="199"/>
      <c r="D8" s="98"/>
      <c r="E8" s="224"/>
      <c r="F8" s="225"/>
      <c r="G8" s="226"/>
      <c r="H8" s="98"/>
      <c r="I8" s="99" t="s">
        <v>233</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234</v>
      </c>
      <c r="AH8" s="88"/>
      <c r="AI8" s="88"/>
      <c r="AJ8" s="88"/>
    </row>
    <row r="9" spans="2:36" ht="14.25" customHeight="1">
      <c r="B9" s="199" t="s">
        <v>235</v>
      </c>
      <c r="C9" s="199"/>
      <c r="D9" s="98"/>
      <c r="E9" s="231"/>
      <c r="F9" s="232"/>
      <c r="G9" s="233"/>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179</v>
      </c>
      <c r="AH9" s="88"/>
      <c r="AI9" s="88"/>
      <c r="AJ9" s="88"/>
    </row>
    <row r="10" spans="2:36" ht="15.75" customHeight="1">
      <c r="B10" s="199" t="s">
        <v>236</v>
      </c>
      <c r="C10" s="199"/>
      <c r="D10" s="98"/>
      <c r="E10" s="231"/>
      <c r="F10" s="232"/>
      <c r="G10" s="233"/>
      <c r="H10" s="98"/>
      <c r="I10" s="99" t="s">
        <v>237</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238</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181</v>
      </c>
      <c r="AH11" s="88"/>
      <c r="AI11" s="88"/>
      <c r="AJ11" s="88"/>
    </row>
    <row r="12" spans="2:36" ht="17.25" customHeight="1">
      <c r="B12" s="227" t="s">
        <v>222</v>
      </c>
      <c r="C12" s="227"/>
      <c r="D12" s="227"/>
      <c r="E12" s="227"/>
      <c r="F12" s="227"/>
      <c r="G12" s="227"/>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9" t="s">
        <v>232</v>
      </c>
      <c r="C13" s="199"/>
      <c r="D13" s="98"/>
      <c r="E13" s="224"/>
      <c r="F13" s="225"/>
      <c r="G13" s="226"/>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9" t="s">
        <v>239</v>
      </c>
      <c r="C14" s="199"/>
      <c r="D14" s="98"/>
      <c r="E14" s="231"/>
      <c r="F14" s="232"/>
      <c r="G14" s="233"/>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9" t="s">
        <v>236</v>
      </c>
      <c r="C15" s="199"/>
      <c r="D15" s="98"/>
      <c r="E15" s="242"/>
      <c r="F15" s="243"/>
      <c r="G15" s="244"/>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8" t="s">
        <v>240</v>
      </c>
      <c r="C17" s="249"/>
      <c r="D17" s="98"/>
      <c r="E17" s="250" t="s">
        <v>241</v>
      </c>
      <c r="F17" s="251"/>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7" t="s">
        <v>242</v>
      </c>
      <c r="C19" s="237"/>
      <c r="D19" s="98"/>
      <c r="E19" s="237" t="s">
        <v>242</v>
      </c>
      <c r="F19" s="237"/>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7" t="s">
        <v>243</v>
      </c>
      <c r="C20" s="247"/>
      <c r="D20" s="98"/>
      <c r="E20" s="237" t="s">
        <v>244</v>
      </c>
      <c r="F20" s="237"/>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7" t="s">
        <v>245</v>
      </c>
      <c r="C21" s="247"/>
      <c r="D21" s="98"/>
      <c r="E21" s="237" t="s">
        <v>245</v>
      </c>
      <c r="F21" s="237"/>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7" t="s">
        <v>246</v>
      </c>
      <c r="C22" s="247"/>
      <c r="D22" s="98"/>
      <c r="E22" s="237" t="s">
        <v>246</v>
      </c>
      <c r="F22" s="237"/>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5"/>
      <c r="C23" s="246"/>
      <c r="D23" s="54"/>
      <c r="E23" s="245"/>
      <c r="F23" s="245"/>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20" t="s">
        <v>197</v>
      </c>
      <c r="C30" s="238" t="s">
        <v>247</v>
      </c>
      <c r="D30" s="239"/>
      <c r="E30" s="220" t="s">
        <v>199</v>
      </c>
      <c r="F30" s="220" t="s">
        <v>248</v>
      </c>
      <c r="G30" s="220" t="s">
        <v>249</v>
      </c>
      <c r="H30" s="220" t="s">
        <v>250</v>
      </c>
      <c r="I30" s="220" t="s">
        <v>202</v>
      </c>
      <c r="J30" s="220" t="s">
        <v>203</v>
      </c>
      <c r="K30" s="220" t="s">
        <v>204</v>
      </c>
      <c r="L30" s="220" t="s">
        <v>251</v>
      </c>
      <c r="M30" s="220" t="s">
        <v>252</v>
      </c>
      <c r="N30" s="220" t="s">
        <v>253</v>
      </c>
      <c r="O30" s="220" t="s">
        <v>254</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21"/>
      <c r="C31" s="222"/>
      <c r="D31" s="240"/>
      <c r="E31" s="221"/>
      <c r="F31" s="221"/>
      <c r="G31" s="221"/>
      <c r="H31" s="221"/>
      <c r="I31" s="221"/>
      <c r="J31" s="221"/>
      <c r="K31" s="221"/>
      <c r="L31" s="221"/>
      <c r="M31" s="221"/>
      <c r="N31" s="221"/>
      <c r="O31" s="221"/>
      <c r="Z31" s="49"/>
      <c r="AA31" s="49"/>
      <c r="AB31" s="49"/>
      <c r="AC31" s="88" t="str">
        <f>IF('Inspection Details'!J60="","",'Inspection Details'!J60)</f>
        <v/>
      </c>
      <c r="AD31" s="88"/>
      <c r="AE31" s="88"/>
      <c r="AF31" s="88"/>
      <c r="AG31" s="49"/>
      <c r="AH31" s="49"/>
      <c r="AI31" s="49"/>
      <c r="AJ31" s="49"/>
    </row>
    <row r="32" spans="2:36">
      <c r="B32" s="100"/>
      <c r="C32" s="252"/>
      <c r="D32" s="252"/>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41"/>
      <c r="D33" s="241"/>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41"/>
      <c r="D34" s="241"/>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41"/>
      <c r="D35" s="241"/>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41"/>
      <c r="D36" s="241"/>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41"/>
      <c r="D37" s="241"/>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41"/>
      <c r="D38" s="241"/>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41"/>
      <c r="D39" s="241"/>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41"/>
      <c r="D40" s="241"/>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41"/>
      <c r="D41" s="241"/>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41"/>
      <c r="D42" s="241"/>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41"/>
      <c r="D43" s="241"/>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41"/>
      <c r="D44" s="241"/>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41"/>
      <c r="D45" s="241"/>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41"/>
      <c r="D46" s="241"/>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41"/>
      <c r="D47" s="241"/>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41"/>
      <c r="D48" s="241"/>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41"/>
      <c r="D49" s="241"/>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41"/>
      <c r="D50" s="241"/>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41"/>
      <c r="D51" s="241"/>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41"/>
      <c r="D52" s="241"/>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41"/>
      <c r="D53" s="241"/>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41"/>
      <c r="D54" s="241"/>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41"/>
      <c r="D55" s="241"/>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41"/>
      <c r="D56" s="241"/>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41"/>
      <c r="D57" s="241"/>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41"/>
      <c r="D58" s="241"/>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41"/>
      <c r="D59" s="241"/>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41"/>
      <c r="D60" s="241"/>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41"/>
      <c r="D61" s="241"/>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41"/>
      <c r="D62" s="241"/>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41"/>
      <c r="D63" s="241"/>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41"/>
      <c r="D64" s="241"/>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41"/>
      <c r="D65" s="241"/>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41"/>
      <c r="D66" s="241"/>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41"/>
      <c r="D67" s="241"/>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41"/>
      <c r="D68" s="241"/>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41"/>
      <c r="D69" s="241"/>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41"/>
      <c r="D70" s="241"/>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41"/>
      <c r="D71" s="241"/>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41"/>
      <c r="D72" s="241"/>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41"/>
      <c r="D73" s="241"/>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41"/>
      <c r="D74" s="241"/>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41"/>
      <c r="D75" s="241"/>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41"/>
      <c r="D76" s="241"/>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41"/>
      <c r="D77" s="241"/>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41"/>
      <c r="D78" s="241"/>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41"/>
      <c r="D79" s="241"/>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41"/>
      <c r="D80" s="241"/>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41"/>
      <c r="D81" s="241"/>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41"/>
      <c r="D82" s="241"/>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41"/>
      <c r="D83" s="241"/>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41"/>
      <c r="D84" s="241"/>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41"/>
      <c r="D85" s="241"/>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41"/>
      <c r="D86" s="241"/>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41"/>
      <c r="D87" s="241"/>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41"/>
      <c r="D88" s="241"/>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41"/>
      <c r="D89" s="241"/>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41"/>
      <c r="D90" s="241"/>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41"/>
      <c r="D91" s="241"/>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41"/>
      <c r="D92" s="241"/>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41"/>
      <c r="D93" s="241"/>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41"/>
      <c r="D94" s="241"/>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41"/>
      <c r="D95" s="241"/>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41"/>
      <c r="D96" s="241"/>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41"/>
      <c r="D97" s="241"/>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41"/>
      <c r="D98" s="241"/>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41"/>
      <c r="D99" s="241"/>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41"/>
      <c r="D100" s="241"/>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41"/>
      <c r="D101" s="241"/>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41"/>
      <c r="D102" s="241"/>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41"/>
      <c r="D103" s="241"/>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41"/>
      <c r="D104" s="241"/>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41"/>
      <c r="D105" s="241"/>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41"/>
      <c r="D106" s="241"/>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41"/>
      <c r="D107" s="241"/>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41"/>
      <c r="D108" s="241"/>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41"/>
      <c r="D109" s="241"/>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41"/>
      <c r="D110" s="241"/>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41"/>
      <c r="D111" s="241"/>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41"/>
      <c r="D112" s="241"/>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41"/>
      <c r="D113" s="241"/>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41"/>
      <c r="D114" s="241"/>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41"/>
      <c r="D115" s="241"/>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41"/>
      <c r="D116" s="241"/>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41"/>
      <c r="D117" s="241"/>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41"/>
      <c r="D118" s="241"/>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41"/>
      <c r="D119" s="241"/>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41"/>
      <c r="D120" s="241"/>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41"/>
      <c r="D121" s="241"/>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41"/>
      <c r="D122" s="241"/>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41"/>
      <c r="D123" s="241"/>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41"/>
      <c r="D124" s="241"/>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41"/>
      <c r="D125" s="241"/>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41"/>
      <c r="D126" s="241"/>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41"/>
      <c r="D127" s="241"/>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41"/>
      <c r="D128" s="241"/>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41"/>
      <c r="D129" s="241"/>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41"/>
      <c r="D130" s="241"/>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41"/>
      <c r="D131" s="241"/>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41"/>
      <c r="D132" s="241"/>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41"/>
      <c r="D133" s="241"/>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41"/>
      <c r="D134" s="241"/>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41"/>
      <c r="D135" s="241"/>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41"/>
      <c r="D136" s="241"/>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41"/>
      <c r="D137" s="241"/>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41"/>
      <c r="D138" s="241"/>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41"/>
      <c r="D139" s="241"/>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41"/>
      <c r="D140" s="241"/>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41"/>
      <c r="D141" s="241"/>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41"/>
      <c r="D142" s="241"/>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41"/>
      <c r="D143" s="241"/>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41"/>
      <c r="D144" s="241"/>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41"/>
      <c r="D145" s="241"/>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41"/>
      <c r="D146" s="241"/>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41"/>
      <c r="D147" s="241"/>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41"/>
      <c r="D148" s="241"/>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41"/>
      <c r="D149" s="241"/>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41"/>
      <c r="D150" s="241"/>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41"/>
      <c r="D151" s="241"/>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41"/>
      <c r="D152" s="241"/>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41"/>
      <c r="D153" s="241"/>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41"/>
      <c r="D154" s="241"/>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41"/>
      <c r="D155" s="241"/>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41"/>
      <c r="D156" s="241"/>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41"/>
      <c r="D157" s="241"/>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41"/>
      <c r="D158" s="241"/>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41"/>
      <c r="D159" s="241"/>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41"/>
      <c r="D160" s="241"/>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41"/>
      <c r="D161" s="241"/>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41"/>
      <c r="D162" s="241"/>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41"/>
      <c r="D163" s="241"/>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41"/>
      <c r="D164" s="241"/>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41"/>
      <c r="D165" s="241"/>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41"/>
      <c r="D166" s="241"/>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41"/>
      <c r="D167" s="241"/>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41"/>
      <c r="D168" s="241"/>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41"/>
      <c r="D169" s="241"/>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41"/>
      <c r="D170" s="241"/>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41"/>
      <c r="D171" s="241"/>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41"/>
      <c r="D172" s="241"/>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41"/>
      <c r="D173" s="241"/>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41"/>
      <c r="D174" s="241"/>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41"/>
      <c r="D175" s="241"/>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41"/>
      <c r="D176" s="241"/>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41"/>
      <c r="D177" s="241"/>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41"/>
      <c r="D178" s="241"/>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41"/>
      <c r="D179" s="241"/>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41"/>
      <c r="D180" s="241"/>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41"/>
      <c r="D181" s="241"/>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41"/>
      <c r="D182" s="241"/>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41"/>
      <c r="D183" s="241"/>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41"/>
      <c r="D184" s="241"/>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41"/>
      <c r="D185" s="241"/>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41"/>
      <c r="D186" s="241"/>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41"/>
      <c r="D187" s="241"/>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41"/>
      <c r="D188" s="241"/>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41"/>
      <c r="D189" s="241"/>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41"/>
      <c r="D190" s="241"/>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41"/>
      <c r="D191" s="241"/>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41"/>
      <c r="D192" s="241"/>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41"/>
      <c r="D193" s="241"/>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41"/>
      <c r="D194" s="241"/>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41"/>
      <c r="D195" s="241"/>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41"/>
      <c r="D196" s="241"/>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41"/>
      <c r="D197" s="241"/>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41"/>
      <c r="D198" s="241"/>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41"/>
      <c r="D199" s="241"/>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41"/>
      <c r="D200" s="241"/>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41"/>
      <c r="D201" s="241"/>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41"/>
      <c r="D202" s="241"/>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41"/>
      <c r="D203" s="241"/>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41"/>
      <c r="D204" s="241"/>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41"/>
      <c r="D205" s="241"/>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41"/>
      <c r="D206" s="241"/>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41"/>
      <c r="D207" s="241"/>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41"/>
      <c r="D208" s="241"/>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41"/>
      <c r="D209" s="241"/>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41"/>
      <c r="D210" s="241"/>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41"/>
      <c r="D211" s="241"/>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41"/>
      <c r="D212" s="241"/>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41"/>
      <c r="D213" s="241"/>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41"/>
      <c r="D214" s="241"/>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41"/>
      <c r="D215" s="241"/>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41"/>
      <c r="D216" s="241"/>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41"/>
      <c r="D217" s="241"/>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41"/>
      <c r="D218" s="241"/>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41"/>
      <c r="D219" s="241"/>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41"/>
      <c r="D220" s="241"/>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41"/>
      <c r="D221" s="241"/>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41"/>
      <c r="D222" s="241"/>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41"/>
      <c r="D223" s="241"/>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41"/>
      <c r="D224" s="241"/>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41"/>
      <c r="D225" s="241"/>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41"/>
      <c r="D226" s="241"/>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41"/>
      <c r="D227" s="241"/>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41"/>
      <c r="D228" s="241"/>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41"/>
      <c r="D229" s="241"/>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41"/>
      <c r="D230" s="241"/>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41"/>
      <c r="D231" s="241"/>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41"/>
      <c r="D232" s="241"/>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41"/>
      <c r="D233" s="241"/>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41"/>
      <c r="D234" s="241"/>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41"/>
      <c r="D235" s="241"/>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41"/>
      <c r="D236" s="241"/>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41"/>
      <c r="D237" s="241"/>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41"/>
      <c r="D238" s="241"/>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41"/>
      <c r="D239" s="241"/>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41"/>
      <c r="D240" s="241"/>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41"/>
      <c r="D241" s="241"/>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41"/>
      <c r="D242" s="241"/>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41"/>
      <c r="D243" s="241"/>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41"/>
      <c r="D244" s="241"/>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41"/>
      <c r="D245" s="241"/>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41"/>
      <c r="D246" s="241"/>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41"/>
      <c r="D247" s="241"/>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41"/>
      <c r="D248" s="241"/>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41"/>
      <c r="D249" s="241"/>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41"/>
      <c r="D250" s="241"/>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41"/>
      <c r="D251" s="241"/>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41"/>
      <c r="D252" s="241"/>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41"/>
      <c r="D253" s="241"/>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41"/>
      <c r="D254" s="241"/>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41"/>
      <c r="D255" s="241"/>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41"/>
      <c r="D256" s="241"/>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41"/>
      <c r="D257" s="241"/>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41"/>
      <c r="D258" s="241"/>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41"/>
      <c r="D259" s="241"/>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41"/>
      <c r="D260" s="241"/>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41"/>
      <c r="D261" s="241"/>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41"/>
      <c r="D262" s="241"/>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41"/>
      <c r="D263" s="241"/>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41"/>
      <c r="D264" s="241"/>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41"/>
      <c r="D265" s="241"/>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41"/>
      <c r="D266" s="241"/>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41"/>
      <c r="D267" s="241"/>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41"/>
      <c r="D268" s="241"/>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41"/>
      <c r="D269" s="241"/>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41"/>
      <c r="D270" s="241"/>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41"/>
      <c r="D271" s="241"/>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41"/>
      <c r="D272" s="241"/>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41"/>
      <c r="D273" s="241"/>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41"/>
      <c r="D274" s="241"/>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41"/>
      <c r="D275" s="241"/>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41"/>
      <c r="D276" s="241"/>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41"/>
      <c r="D277" s="241"/>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41"/>
      <c r="D278" s="241"/>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41"/>
      <c r="D279" s="241"/>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41"/>
      <c r="D280" s="241"/>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41"/>
      <c r="D281" s="241"/>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41"/>
      <c r="D282" s="241"/>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41"/>
      <c r="D283" s="241"/>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41"/>
      <c r="D284" s="241"/>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41"/>
      <c r="D285" s="241"/>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41"/>
      <c r="D286" s="241"/>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41"/>
      <c r="D287" s="241"/>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41"/>
      <c r="D288" s="241"/>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41"/>
      <c r="D289" s="241"/>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41"/>
      <c r="D290" s="241"/>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41"/>
      <c r="D291" s="241"/>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41"/>
      <c r="D292" s="241"/>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41"/>
      <c r="D293" s="241"/>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41"/>
      <c r="D294" s="241"/>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41"/>
      <c r="D295" s="241"/>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41"/>
      <c r="D296" s="241"/>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41"/>
      <c r="D297" s="241"/>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41"/>
      <c r="D298" s="241"/>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41"/>
      <c r="D299" s="241"/>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41"/>
      <c r="D300" s="241"/>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41"/>
      <c r="D301" s="241"/>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41"/>
      <c r="D302" s="241"/>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41"/>
      <c r="D303" s="241"/>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41"/>
      <c r="D304" s="241"/>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41"/>
      <c r="D305" s="241"/>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41"/>
      <c r="D306" s="241"/>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41"/>
      <c r="D307" s="241"/>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41"/>
      <c r="D308" s="241"/>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41"/>
      <c r="D309" s="241"/>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41"/>
      <c r="D310" s="241"/>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41"/>
      <c r="D311" s="241"/>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41"/>
      <c r="D312" s="241"/>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41"/>
      <c r="D313" s="241"/>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41"/>
      <c r="D314" s="241"/>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41"/>
      <c r="D315" s="241"/>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41"/>
      <c r="D316" s="241"/>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41"/>
      <c r="D317" s="241"/>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41"/>
      <c r="D318" s="241"/>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41"/>
      <c r="D319" s="241"/>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41"/>
      <c r="D320" s="241"/>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41"/>
      <c r="D321" s="241"/>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41"/>
      <c r="D322" s="241"/>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41"/>
      <c r="D323" s="241"/>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41"/>
      <c r="D324" s="241"/>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41"/>
      <c r="D325" s="241"/>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41"/>
      <c r="D326" s="241"/>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41"/>
      <c r="D327" s="241"/>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41"/>
      <c r="D328" s="241"/>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41"/>
      <c r="D329" s="241"/>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41"/>
      <c r="D330" s="241"/>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41"/>
      <c r="D331" s="241"/>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41"/>
      <c r="D332" s="241"/>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41"/>
      <c r="D333" s="241"/>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41"/>
      <c r="D334" s="241"/>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41"/>
      <c r="D335" s="241"/>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41"/>
      <c r="D336" s="241"/>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41"/>
      <c r="D337" s="241"/>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41"/>
      <c r="D338" s="241"/>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41"/>
      <c r="D339" s="241"/>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41"/>
      <c r="D340" s="241"/>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41"/>
      <c r="D341" s="241"/>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41"/>
      <c r="D342" s="241"/>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41"/>
      <c r="D343" s="241"/>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41"/>
      <c r="D344" s="241"/>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41"/>
      <c r="D345" s="241"/>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41"/>
      <c r="D346" s="241"/>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41"/>
      <c r="D347" s="241"/>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41"/>
      <c r="D348" s="241"/>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41"/>
      <c r="D349" s="241"/>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41"/>
      <c r="D350" s="241"/>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41"/>
      <c r="D351" s="241"/>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41"/>
      <c r="D352" s="241"/>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41"/>
      <c r="D353" s="241"/>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41"/>
      <c r="D354" s="241"/>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41"/>
      <c r="D355" s="241"/>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41"/>
      <c r="D356" s="241"/>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41"/>
      <c r="D357" s="241"/>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41"/>
      <c r="D358" s="241"/>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41"/>
      <c r="D359" s="241"/>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41"/>
      <c r="D360" s="241"/>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41"/>
      <c r="D361" s="241"/>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41"/>
      <c r="D362" s="241"/>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41"/>
      <c r="D363" s="241"/>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41"/>
      <c r="D364" s="241"/>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41"/>
      <c r="D365" s="241"/>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41"/>
      <c r="D366" s="241"/>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41"/>
      <c r="D367" s="241"/>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41"/>
      <c r="D368" s="241"/>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41"/>
      <c r="D369" s="241"/>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41"/>
      <c r="D370" s="241"/>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41"/>
      <c r="D371" s="241"/>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41"/>
      <c r="D372" s="241"/>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41"/>
      <c r="D373" s="241"/>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41"/>
      <c r="D374" s="241"/>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41"/>
      <c r="D375" s="241"/>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41"/>
      <c r="D376" s="241"/>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41"/>
      <c r="D377" s="241"/>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41"/>
      <c r="D378" s="241"/>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41"/>
      <c r="D379" s="241"/>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41"/>
      <c r="D380" s="241"/>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41"/>
      <c r="D381" s="241"/>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41"/>
      <c r="D382" s="241"/>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41"/>
      <c r="D383" s="241"/>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41"/>
      <c r="D384" s="241"/>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41"/>
      <c r="D385" s="241"/>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41"/>
      <c r="D386" s="241"/>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41"/>
      <c r="D387" s="241"/>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41"/>
      <c r="D388" s="241"/>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41"/>
      <c r="D389" s="241"/>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41"/>
      <c r="D390" s="241"/>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41"/>
      <c r="D391" s="241"/>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41"/>
      <c r="D392" s="241"/>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41"/>
      <c r="D393" s="241"/>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41"/>
      <c r="D394" s="241"/>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41"/>
      <c r="D395" s="241"/>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41"/>
      <c r="D396" s="241"/>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41"/>
      <c r="D397" s="241"/>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41"/>
      <c r="D398" s="241"/>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41"/>
      <c r="D399" s="241"/>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41"/>
      <c r="D400" s="241"/>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41"/>
      <c r="D401" s="241"/>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41"/>
      <c r="D402" s="241"/>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41"/>
      <c r="D403" s="241"/>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41"/>
      <c r="D404" s="241"/>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41"/>
      <c r="D405" s="241"/>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41"/>
      <c r="D406" s="241"/>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41"/>
      <c r="D407" s="241"/>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41"/>
      <c r="D408" s="241"/>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41"/>
      <c r="D409" s="241"/>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41"/>
      <c r="D410" s="241"/>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41"/>
      <c r="D411" s="241"/>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41"/>
      <c r="D412" s="241"/>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41"/>
      <c r="D413" s="241"/>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41"/>
      <c r="D414" s="241"/>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41"/>
      <c r="D415" s="241"/>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41"/>
      <c r="D416" s="241"/>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41"/>
      <c r="D417" s="241"/>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41"/>
      <c r="D418" s="241"/>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41"/>
      <c r="D419" s="241"/>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41"/>
      <c r="D420" s="241"/>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41"/>
      <c r="D421" s="241"/>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41"/>
      <c r="D422" s="241"/>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41"/>
      <c r="D423" s="241"/>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41"/>
      <c r="D424" s="241"/>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41"/>
      <c r="D425" s="241"/>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41"/>
      <c r="D426" s="241"/>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41"/>
      <c r="D427" s="241"/>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41"/>
      <c r="D428" s="241"/>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41"/>
      <c r="D429" s="241"/>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41"/>
      <c r="D430" s="241"/>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41"/>
      <c r="D431" s="241"/>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41"/>
      <c r="D432" s="241"/>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41"/>
      <c r="D433" s="241"/>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41"/>
      <c r="D434" s="241"/>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41"/>
      <c r="D435" s="241"/>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41"/>
      <c r="D436" s="241"/>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41"/>
      <c r="D437" s="241"/>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41"/>
      <c r="D438" s="241"/>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41"/>
      <c r="D439" s="241"/>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41"/>
      <c r="D440" s="241"/>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41"/>
      <c r="D441" s="241"/>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41"/>
      <c r="D442" s="241"/>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41"/>
      <c r="D443" s="241"/>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41"/>
      <c r="D444" s="241"/>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41"/>
      <c r="D445" s="241"/>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41"/>
      <c r="D446" s="241"/>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41"/>
      <c r="D447" s="241"/>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41"/>
      <c r="D448" s="241"/>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41"/>
      <c r="D449" s="241"/>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41"/>
      <c r="D450" s="241"/>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41"/>
      <c r="D451" s="241"/>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41"/>
      <c r="D452" s="241"/>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41"/>
      <c r="D453" s="241"/>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41"/>
      <c r="D454" s="241"/>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41"/>
      <c r="D455" s="241"/>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41"/>
      <c r="D456" s="241"/>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41"/>
      <c r="D457" s="241"/>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41"/>
      <c r="D458" s="241"/>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41"/>
      <c r="D459" s="241"/>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41"/>
      <c r="D460" s="241"/>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41"/>
      <c r="D461" s="241"/>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41"/>
      <c r="D462" s="241"/>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41"/>
      <c r="D463" s="241"/>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41"/>
      <c r="D464" s="241"/>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41"/>
      <c r="D465" s="241"/>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41"/>
      <c r="D466" s="241"/>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41"/>
      <c r="D467" s="241"/>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41"/>
      <c r="D468" s="241"/>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41"/>
      <c r="D469" s="241"/>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41"/>
      <c r="D470" s="241"/>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41"/>
      <c r="D471" s="241"/>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41"/>
      <c r="D472" s="241"/>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41"/>
      <c r="D473" s="241"/>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41"/>
      <c r="D474" s="241"/>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41"/>
      <c r="D475" s="241"/>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41"/>
      <c r="D476" s="241"/>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41"/>
      <c r="D477" s="241"/>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41"/>
      <c r="D478" s="241"/>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41"/>
      <c r="D479" s="241"/>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41"/>
      <c r="D480" s="241"/>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41"/>
      <c r="D481" s="241"/>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41"/>
      <c r="D482" s="241"/>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41"/>
      <c r="D483" s="241"/>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41"/>
      <c r="D484" s="241"/>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41"/>
      <c r="D485" s="241"/>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41"/>
      <c r="D486" s="241"/>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41"/>
      <c r="D487" s="241"/>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41"/>
      <c r="D488" s="241"/>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41"/>
      <c r="D489" s="241"/>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41"/>
      <c r="D490" s="241"/>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41"/>
      <c r="D491" s="241"/>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41"/>
      <c r="D492" s="241"/>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41"/>
      <c r="D493" s="241"/>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41"/>
      <c r="D494" s="241"/>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41"/>
      <c r="D495" s="241"/>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41"/>
      <c r="D496" s="241"/>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41"/>
      <c r="D497" s="241"/>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41"/>
      <c r="D498" s="241"/>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41"/>
      <c r="D499" s="241"/>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41"/>
      <c r="D500" s="241"/>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41"/>
      <c r="D501" s="241"/>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41"/>
      <c r="D502" s="241"/>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41"/>
      <c r="D503" s="241"/>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41"/>
      <c r="D504" s="241"/>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41"/>
      <c r="D505" s="241"/>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41"/>
      <c r="D506" s="241"/>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41"/>
      <c r="D507" s="241"/>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41"/>
      <c r="D508" s="241"/>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41"/>
      <c r="D509" s="241"/>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41"/>
      <c r="D510" s="241"/>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41"/>
      <c r="D511" s="241"/>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41"/>
      <c r="D512" s="241"/>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41"/>
      <c r="D513" s="241"/>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41"/>
      <c r="D514" s="241"/>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41"/>
      <c r="D515" s="241"/>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41"/>
      <c r="D516" s="241"/>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41"/>
      <c r="D517" s="241"/>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41"/>
      <c r="D518" s="241"/>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41"/>
      <c r="D519" s="241"/>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41"/>
      <c r="D520" s="241"/>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41"/>
      <c r="D521" s="241"/>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41"/>
      <c r="D522" s="241"/>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41"/>
      <c r="D523" s="241"/>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41"/>
      <c r="D524" s="241"/>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41"/>
      <c r="D525" s="241"/>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41"/>
      <c r="D526" s="241"/>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41"/>
      <c r="D527" s="241"/>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41"/>
      <c r="D528" s="241"/>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41"/>
      <c r="D529" s="241"/>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41"/>
      <c r="D530" s="241"/>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41"/>
      <c r="D531" s="241"/>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41"/>
      <c r="D532" s="241"/>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41"/>
      <c r="D533" s="241"/>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5" t="s">
        <v>255</v>
      </c>
      <c r="B1" s="9"/>
      <c r="C1" s="10" t="s">
        <v>256</v>
      </c>
    </row>
    <row r="2" spans="1:3" ht="21" customHeight="1" thickBot="1">
      <c r="A2" s="256"/>
      <c r="B2" s="12"/>
      <c r="C2" s="10" t="s">
        <v>257</v>
      </c>
    </row>
    <row r="3" spans="1:3" ht="13.9" thickBot="1">
      <c r="A3" s="13"/>
      <c r="B3" s="14"/>
      <c r="C3" s="15"/>
    </row>
    <row r="4" spans="1:3" ht="13.9" thickBot="1">
      <c r="A4" s="16" t="s">
        <v>258</v>
      </c>
      <c r="B4" s="17" t="s">
        <v>259</v>
      </c>
      <c r="C4" s="18"/>
    </row>
    <row r="5" spans="1:3" ht="13.9" thickBot="1">
      <c r="A5" s="13"/>
      <c r="B5" s="19" t="s">
        <v>260</v>
      </c>
      <c r="C5" s="20" t="s">
        <v>261</v>
      </c>
    </row>
    <row r="6" spans="1:3">
      <c r="A6" s="254"/>
      <c r="B6" s="21" t="s">
        <v>25</v>
      </c>
      <c r="C6" s="22" t="s">
        <v>262</v>
      </c>
    </row>
    <row r="7" spans="1:3" ht="34.15">
      <c r="A7" s="254"/>
      <c r="B7" s="23" t="s">
        <v>263</v>
      </c>
      <c r="C7" s="24" t="s">
        <v>264</v>
      </c>
    </row>
    <row r="8" spans="1:3" ht="34.15">
      <c r="A8" s="254"/>
      <c r="B8" s="23" t="s">
        <v>265</v>
      </c>
      <c r="C8" s="24" t="s">
        <v>266</v>
      </c>
    </row>
    <row r="9" spans="1:3" ht="23.45" thickBot="1">
      <c r="A9" s="254"/>
      <c r="B9" s="23" t="s">
        <v>267</v>
      </c>
      <c r="C9" s="24" t="s">
        <v>268</v>
      </c>
    </row>
    <row r="10" spans="1:3" ht="13.9" thickBot="1">
      <c r="A10" s="30"/>
      <c r="B10" s="31"/>
      <c r="C10" s="32"/>
    </row>
    <row r="11" spans="1:3" ht="13.9" thickBot="1">
      <c r="A11" s="16" t="s">
        <v>258</v>
      </c>
      <c r="B11" s="17" t="s">
        <v>11</v>
      </c>
      <c r="C11" s="18"/>
    </row>
    <row r="12" spans="1:3" ht="13.9" outlineLevel="1" thickBot="1">
      <c r="A12" s="13"/>
      <c r="B12" s="19" t="s">
        <v>260</v>
      </c>
      <c r="C12" s="20" t="s">
        <v>261</v>
      </c>
    </row>
    <row r="13" spans="1:3" ht="22.9" outlineLevel="1">
      <c r="A13" s="254"/>
      <c r="B13" s="25" t="s">
        <v>269</v>
      </c>
      <c r="C13" s="26" t="s">
        <v>270</v>
      </c>
    </row>
    <row r="14" spans="1:3" ht="22.9" outlineLevel="1">
      <c r="A14" s="254"/>
      <c r="B14" s="23" t="s">
        <v>271</v>
      </c>
      <c r="C14" s="27" t="s">
        <v>272</v>
      </c>
    </row>
    <row r="15" spans="1:3" outlineLevel="1">
      <c r="A15" s="254"/>
      <c r="B15" s="28" t="s">
        <v>25</v>
      </c>
      <c r="C15" s="29" t="s">
        <v>273</v>
      </c>
    </row>
    <row r="16" spans="1:3" outlineLevel="1">
      <c r="A16" s="254"/>
      <c r="B16" s="28" t="s">
        <v>263</v>
      </c>
      <c r="C16" s="29" t="s">
        <v>274</v>
      </c>
    </row>
    <row r="17" spans="1:3" ht="25.15" outlineLevel="1">
      <c r="A17" s="254"/>
      <c r="B17" s="28" t="s">
        <v>265</v>
      </c>
      <c r="C17" s="29" t="s">
        <v>274</v>
      </c>
    </row>
    <row r="18" spans="1:3" outlineLevel="1">
      <c r="A18" s="254"/>
      <c r="B18" s="28" t="s">
        <v>267</v>
      </c>
      <c r="C18" s="29" t="s">
        <v>274</v>
      </c>
    </row>
    <row r="19" spans="1:3" ht="13.9" thickBot="1">
      <c r="A19" s="253"/>
      <c r="B19" s="253"/>
      <c r="C19" s="253"/>
    </row>
    <row r="20" spans="1:3" ht="13.9" thickBot="1">
      <c r="A20" s="16" t="s">
        <v>258</v>
      </c>
      <c r="B20" s="17" t="s">
        <v>12</v>
      </c>
      <c r="C20" s="18"/>
    </row>
    <row r="21" spans="1:3" ht="13.9" outlineLevel="1" thickBot="1">
      <c r="A21" s="33"/>
      <c r="B21" s="19" t="s">
        <v>260</v>
      </c>
      <c r="C21" s="20" t="s">
        <v>261</v>
      </c>
    </row>
    <row r="22" spans="1:3" ht="22.9" outlineLevel="1">
      <c r="A22" s="13"/>
      <c r="B22" s="21" t="s">
        <v>275</v>
      </c>
      <c r="C22" s="34" t="s">
        <v>276</v>
      </c>
    </row>
    <row r="23" spans="1:3" ht="34.15" outlineLevel="1">
      <c r="A23" s="13"/>
      <c r="B23" s="23" t="s">
        <v>166</v>
      </c>
      <c r="C23" s="27" t="s">
        <v>277</v>
      </c>
    </row>
    <row r="24" spans="1:3" ht="34.15" outlineLevel="1">
      <c r="A24" s="13"/>
      <c r="B24" s="23" t="s">
        <v>278</v>
      </c>
      <c r="C24" s="27" t="s">
        <v>279</v>
      </c>
    </row>
    <row r="25" spans="1:3" ht="34.15" outlineLevel="1">
      <c r="A25" s="13"/>
      <c r="B25" s="23" t="s">
        <v>280</v>
      </c>
      <c r="C25" s="27" t="s">
        <v>281</v>
      </c>
    </row>
    <row r="26" spans="1:3" ht="34.15" outlineLevel="1">
      <c r="A26" s="13"/>
      <c r="B26" s="23" t="s">
        <v>282</v>
      </c>
      <c r="C26" s="27" t="s">
        <v>283</v>
      </c>
    </row>
    <row r="27" spans="1:3" outlineLevel="1">
      <c r="A27" s="13"/>
      <c r="B27" s="23" t="s">
        <v>284</v>
      </c>
      <c r="C27" s="27" t="s">
        <v>285</v>
      </c>
    </row>
    <row r="28" spans="1:3" ht="34.15" outlineLevel="1">
      <c r="A28" s="13"/>
      <c r="B28" s="23" t="s">
        <v>286</v>
      </c>
      <c r="C28" s="27" t="s">
        <v>287</v>
      </c>
    </row>
    <row r="29" spans="1:3" ht="25.15" outlineLevel="1">
      <c r="A29" s="13"/>
      <c r="B29" s="23" t="s">
        <v>288</v>
      </c>
      <c r="C29" s="27" t="s">
        <v>289</v>
      </c>
    </row>
    <row r="30" spans="1:3" outlineLevel="1">
      <c r="A30" s="13"/>
      <c r="B30" s="23" t="s">
        <v>290</v>
      </c>
      <c r="C30" s="27" t="s">
        <v>291</v>
      </c>
    </row>
    <row r="31" spans="1:3" outlineLevel="1">
      <c r="A31" s="13"/>
      <c r="B31" s="28" t="s">
        <v>269</v>
      </c>
      <c r="C31" s="29" t="s">
        <v>292</v>
      </c>
    </row>
    <row r="32" spans="1:3" outlineLevel="1">
      <c r="A32" s="13"/>
      <c r="B32" s="28" t="s">
        <v>271</v>
      </c>
      <c r="C32" s="29" t="s">
        <v>274</v>
      </c>
    </row>
    <row r="33" spans="1:4" outlineLevel="1">
      <c r="A33" s="13"/>
      <c r="B33" s="28" t="s">
        <v>25</v>
      </c>
      <c r="C33" s="29" t="s">
        <v>274</v>
      </c>
    </row>
    <row r="34" spans="1:4" outlineLevel="1">
      <c r="A34" s="13"/>
      <c r="B34" s="28" t="s">
        <v>263</v>
      </c>
      <c r="C34" s="29" t="s">
        <v>274</v>
      </c>
      <c r="D34" s="14"/>
    </row>
    <row r="35" spans="1:4" ht="25.15" outlineLevel="1">
      <c r="A35" s="13"/>
      <c r="B35" s="28" t="s">
        <v>265</v>
      </c>
      <c r="C35" s="29" t="s">
        <v>274</v>
      </c>
      <c r="D35" s="14"/>
    </row>
    <row r="36" spans="1:4" outlineLevel="1">
      <c r="A36" s="13"/>
      <c r="B36" s="28" t="s">
        <v>267</v>
      </c>
      <c r="C36" s="29" t="s">
        <v>274</v>
      </c>
      <c r="D36" s="14"/>
    </row>
    <row r="37" spans="1:4" ht="13.9" thickBot="1">
      <c r="A37" s="253"/>
      <c r="B37" s="253"/>
      <c r="C37" s="253"/>
      <c r="D37" s="14"/>
    </row>
    <row r="38" spans="1:4" ht="13.9" thickBot="1">
      <c r="A38" s="16" t="s">
        <v>258</v>
      </c>
      <c r="B38" s="17" t="s">
        <v>293</v>
      </c>
      <c r="C38" s="18"/>
      <c r="D38" s="14"/>
    </row>
    <row r="39" spans="1:4" ht="13.9" outlineLevel="1" thickBot="1">
      <c r="A39" s="13"/>
      <c r="B39" s="19" t="s">
        <v>260</v>
      </c>
      <c r="C39" s="20" t="s">
        <v>261</v>
      </c>
      <c r="D39" s="14"/>
    </row>
    <row r="40" spans="1:4" ht="159.6" outlineLevel="1">
      <c r="A40" s="254"/>
      <c r="B40" s="21" t="s">
        <v>294</v>
      </c>
      <c r="C40" s="34" t="s">
        <v>295</v>
      </c>
      <c r="D40" s="14"/>
    </row>
    <row r="41" spans="1:4" ht="25.15" outlineLevel="1">
      <c r="A41" s="254"/>
      <c r="B41" s="23" t="s">
        <v>296</v>
      </c>
      <c r="C41" s="27" t="s">
        <v>297</v>
      </c>
      <c r="D41" s="14" t="s">
        <v>298</v>
      </c>
    </row>
    <row r="42" spans="1:4" outlineLevel="1">
      <c r="A42" s="254"/>
      <c r="B42" s="28" t="s">
        <v>269</v>
      </c>
      <c r="C42" s="29" t="s">
        <v>292</v>
      </c>
    </row>
    <row r="43" spans="1:4" outlineLevel="1">
      <c r="A43" s="254"/>
      <c r="B43" s="28" t="s">
        <v>271</v>
      </c>
      <c r="C43" s="29" t="s">
        <v>274</v>
      </c>
    </row>
    <row r="44" spans="1:4" outlineLevel="1">
      <c r="A44" s="254"/>
      <c r="B44" s="28" t="s">
        <v>25</v>
      </c>
      <c r="C44" s="29" t="s">
        <v>274</v>
      </c>
    </row>
    <row r="45" spans="1:4" outlineLevel="1">
      <c r="A45" s="254"/>
      <c r="B45" s="28" t="s">
        <v>263</v>
      </c>
      <c r="C45" s="29" t="s">
        <v>274</v>
      </c>
    </row>
    <row r="46" spans="1:4" ht="25.15" outlineLevel="1">
      <c r="A46" s="254"/>
      <c r="B46" s="28" t="s">
        <v>265</v>
      </c>
      <c r="C46" s="29" t="s">
        <v>274</v>
      </c>
    </row>
    <row r="47" spans="1:4" outlineLevel="1">
      <c r="A47" s="254"/>
      <c r="B47" s="28" t="s">
        <v>267</v>
      </c>
      <c r="C47" s="29" t="s">
        <v>274</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7" t="s">
        <v>299</v>
      </c>
      <c r="C2" s="258"/>
      <c r="D2" s="259"/>
    </row>
    <row r="3" spans="2:8" ht="4.5" customHeight="1" thickBot="1">
      <c r="B3" s="108"/>
      <c r="C3" s="108"/>
      <c r="D3" s="109"/>
    </row>
    <row r="4" spans="2:8" ht="26.25" customHeight="1" thickTop="1" thickBot="1">
      <c r="B4" s="112" t="s">
        <v>173</v>
      </c>
      <c r="C4" s="110" t="s">
        <v>300</v>
      </c>
      <c r="D4" s="111" t="s">
        <v>301</v>
      </c>
      <c r="F4" s="260" t="s">
        <v>302</v>
      </c>
      <c r="G4" s="261"/>
      <c r="H4" s="262"/>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3" t="s">
        <v>303</v>
      </c>
      <c r="C2" s="264"/>
      <c r="D2" s="264"/>
      <c r="E2" s="264"/>
      <c r="F2" s="265"/>
    </row>
    <row r="4" spans="2:7" ht="15.6">
      <c r="B4" s="3" t="s">
        <v>304</v>
      </c>
      <c r="C4" s="3" t="s">
        <v>305</v>
      </c>
      <c r="D4" s="3" t="s">
        <v>175</v>
      </c>
      <c r="E4" s="3" t="s">
        <v>306</v>
      </c>
      <c r="F4" s="3" t="s">
        <v>307</v>
      </c>
    </row>
    <row r="5" spans="2:7" ht="26.45">
      <c r="B5" s="131">
        <v>6</v>
      </c>
      <c r="C5" s="163"/>
      <c r="D5" s="53" t="s">
        <v>308</v>
      </c>
      <c r="E5" s="8" t="s">
        <v>309</v>
      </c>
      <c r="F5" s="53" t="s">
        <v>310</v>
      </c>
      <c r="G5" s="4"/>
    </row>
    <row r="6" spans="2:7" ht="132">
      <c r="B6" s="131">
        <v>6.1</v>
      </c>
      <c r="C6" s="163" t="s">
        <v>311</v>
      </c>
      <c r="D6" s="53" t="s">
        <v>312</v>
      </c>
      <c r="E6" s="8" t="s">
        <v>309</v>
      </c>
      <c r="F6" s="53" t="s">
        <v>313</v>
      </c>
      <c r="G6" s="4"/>
    </row>
    <row r="7" spans="2:7" ht="303.60000000000002">
      <c r="B7" s="131">
        <v>7</v>
      </c>
      <c r="C7" s="163" t="s">
        <v>314</v>
      </c>
      <c r="D7" s="53" t="s">
        <v>312</v>
      </c>
      <c r="E7" s="8" t="s">
        <v>309</v>
      </c>
      <c r="F7" s="53" t="s">
        <v>315</v>
      </c>
      <c r="G7" s="4"/>
    </row>
    <row r="8" spans="2:7" ht="211.15">
      <c r="B8" s="131">
        <v>7.1</v>
      </c>
      <c r="C8" s="163" t="s">
        <v>316</v>
      </c>
      <c r="D8" s="53" t="s">
        <v>317</v>
      </c>
      <c r="E8" s="8" t="s">
        <v>309</v>
      </c>
      <c r="F8" s="53" t="s">
        <v>318</v>
      </c>
      <c r="G8" s="4"/>
    </row>
    <row r="9" spans="2:7" ht="12.75" customHeight="1">
      <c r="B9" s="131">
        <v>7.2</v>
      </c>
      <c r="C9" s="163">
        <v>39035</v>
      </c>
      <c r="D9" s="53" t="s">
        <v>317</v>
      </c>
      <c r="E9" s="8" t="s">
        <v>309</v>
      </c>
      <c r="F9" s="53" t="s">
        <v>319</v>
      </c>
      <c r="G9" s="4"/>
    </row>
    <row r="10" spans="2:7">
      <c r="B10" s="131">
        <v>7.3</v>
      </c>
      <c r="C10" s="163">
        <v>39219</v>
      </c>
      <c r="D10" s="53" t="s">
        <v>317</v>
      </c>
      <c r="E10" s="8" t="s">
        <v>309</v>
      </c>
      <c r="F10" s="53" t="s">
        <v>320</v>
      </c>
      <c r="G10" s="4"/>
    </row>
    <row r="11" spans="2:7" ht="26.45">
      <c r="B11" s="131">
        <v>7.4</v>
      </c>
      <c r="C11" s="163">
        <v>39237</v>
      </c>
      <c r="D11" s="53" t="s">
        <v>317</v>
      </c>
      <c r="E11" s="8" t="s">
        <v>309</v>
      </c>
      <c r="F11" s="53" t="s">
        <v>321</v>
      </c>
      <c r="G11" s="4"/>
    </row>
    <row r="12" spans="2:7" ht="92.45">
      <c r="B12" s="131">
        <v>8</v>
      </c>
      <c r="C12" s="163">
        <v>39308</v>
      </c>
      <c r="D12" s="53" t="s">
        <v>317</v>
      </c>
      <c r="E12" s="8" t="s">
        <v>309</v>
      </c>
      <c r="F12" s="53" t="s">
        <v>322</v>
      </c>
      <c r="G12" s="4"/>
    </row>
    <row r="13" spans="2:7" ht="26.45">
      <c r="B13" s="131">
        <v>8.1</v>
      </c>
      <c r="C13" s="163">
        <v>40003</v>
      </c>
      <c r="D13" s="53" t="s">
        <v>317</v>
      </c>
      <c r="E13" s="8" t="s">
        <v>323</v>
      </c>
      <c r="F13" s="53" t="s">
        <v>324</v>
      </c>
      <c r="G13" s="4"/>
    </row>
    <row r="14" spans="2:7" ht="198">
      <c r="B14" s="131">
        <v>8.1999999999999993</v>
      </c>
      <c r="C14" s="163">
        <v>40183</v>
      </c>
      <c r="D14" s="53" t="s">
        <v>325</v>
      </c>
      <c r="E14" s="8" t="s">
        <v>323</v>
      </c>
      <c r="F14" s="53" t="s">
        <v>326</v>
      </c>
      <c r="G14" s="4"/>
    </row>
    <row r="15" spans="2:7" ht="72.75" customHeight="1">
      <c r="B15" s="131">
        <v>9</v>
      </c>
      <c r="C15" s="163">
        <v>40683</v>
      </c>
      <c r="D15" s="53" t="s">
        <v>317</v>
      </c>
      <c r="E15" s="8" t="s">
        <v>323</v>
      </c>
      <c r="F15" s="53" t="s">
        <v>327</v>
      </c>
      <c r="G15" s="4"/>
    </row>
    <row r="16" spans="2:7" ht="39.6">
      <c r="B16" s="131" t="s">
        <v>328</v>
      </c>
      <c r="C16" s="163">
        <v>41725</v>
      </c>
      <c r="D16" s="53" t="s">
        <v>329</v>
      </c>
      <c r="E16" s="8" t="s">
        <v>323</v>
      </c>
      <c r="F16" s="53" t="s">
        <v>330</v>
      </c>
      <c r="G16" s="4"/>
    </row>
    <row r="17" spans="2:7" ht="66">
      <c r="B17" s="131">
        <v>10</v>
      </c>
      <c r="C17" s="163">
        <v>42039</v>
      </c>
      <c r="D17" s="53" t="s">
        <v>329</v>
      </c>
      <c r="E17" s="8" t="s">
        <v>323</v>
      </c>
      <c r="F17" s="138" t="s">
        <v>331</v>
      </c>
      <c r="G17" s="4"/>
    </row>
    <row r="18" spans="2:7" ht="39.6">
      <c r="B18" s="131" t="s">
        <v>332</v>
      </c>
      <c r="C18" s="163">
        <v>42310</v>
      </c>
      <c r="D18" s="53" t="s">
        <v>333</v>
      </c>
      <c r="E18" s="8" t="s">
        <v>323</v>
      </c>
      <c r="F18" s="53" t="s">
        <v>334</v>
      </c>
      <c r="G18" s="4"/>
    </row>
    <row r="19" spans="2:7">
      <c r="B19" s="131"/>
      <c r="C19" s="163"/>
      <c r="D19" s="53"/>
      <c r="E19" s="8"/>
      <c r="F19" s="138"/>
      <c r="G19" s="4"/>
    </row>
    <row r="20" spans="2:7">
      <c r="B20" s="131"/>
      <c r="C20" s="163"/>
      <c r="D20" s="53"/>
      <c r="E20" s="8"/>
      <c r="F20" s="138"/>
      <c r="G20" s="4"/>
    </row>
    <row r="21" spans="2:7">
      <c r="B21" s="131"/>
      <c r="C21" s="163"/>
      <c r="D21" s="53"/>
      <c r="E21" s="8"/>
      <c r="F21" s="138"/>
      <c r="G21" s="4"/>
    </row>
    <row r="22" spans="2:7">
      <c r="B22" s="131"/>
      <c r="C22" s="163"/>
      <c r="D22" s="53"/>
      <c r="E22" s="8"/>
      <c r="F22" s="138"/>
      <c r="G22" s="4"/>
    </row>
    <row r="23" spans="2:7">
      <c r="B23" s="131"/>
      <c r="C23" s="163"/>
      <c r="D23" s="53"/>
      <c r="E23" s="8"/>
      <c r="F23" s="138"/>
      <c r="G23" s="4"/>
    </row>
    <row r="24" spans="2:7">
      <c r="B24" s="131"/>
      <c r="C24" s="163"/>
      <c r="D24" s="53"/>
      <c r="E24" s="8"/>
      <c r="F24" s="138"/>
      <c r="G24" s="4"/>
    </row>
    <row r="25" spans="2:7">
      <c r="B25" s="131"/>
      <c r="C25" s="163"/>
      <c r="D25" s="53"/>
      <c r="E25" s="8"/>
      <c r="F25" s="138"/>
      <c r="G25" s="4"/>
    </row>
    <row r="26" spans="2:7">
      <c r="B26" s="131"/>
      <c r="C26" s="163"/>
      <c r="D26" s="53"/>
      <c r="E26" s="8"/>
      <c r="F26" s="138"/>
      <c r="G26" s="4"/>
    </row>
    <row r="27" spans="2:7">
      <c r="B27" s="131"/>
      <c r="C27" s="163"/>
      <c r="D27" s="53"/>
      <c r="E27" s="8"/>
      <c r="F27" s="138"/>
      <c r="G27" s="4"/>
    </row>
    <row r="28" spans="2:7">
      <c r="B28" s="131"/>
      <c r="C28" s="163"/>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C59E6E1D68DB64D8D0AAF335162BA52" ma:contentTypeVersion="13" ma:contentTypeDescription="Create a new document." ma:contentTypeScope="" ma:versionID="18410533d9c80c08f4c5dbd52a9762c0">
  <xsd:schema xmlns:xsd="http://www.w3.org/2001/XMLSchema" xmlns:xs="http://www.w3.org/2001/XMLSchema" xmlns:p="http://schemas.microsoft.com/office/2006/metadata/properties" xmlns:ns2="e6d15cc9-787b-40c8-bed9-024a43939d4e" xmlns:ns3="b01f1fda-c5de-4c4a-aeaf-89996165eb0d" targetNamespace="http://schemas.microsoft.com/office/2006/metadata/properties" ma:root="true" ma:fieldsID="5812a222b760d8d7cab24a168b2cd60a" ns2:_="" ns3:_="">
    <xsd:import namespace="e6d15cc9-787b-40c8-bed9-024a43939d4e"/>
    <xsd:import namespace="b01f1fda-c5de-4c4a-aeaf-89996165eb0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d15cc9-787b-40c8-bed9-024a43939d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dcc8788f-f679-4de9-afe2-1653e9c0f3dd"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01f1fda-c5de-4c4a-aeaf-89996165eb0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6" nillable="true" ma:displayName="Taxonomy Catch All Column" ma:hidden="true" ma:list="{23c5c977-c3cd-40f6-a849-145d160c8c37}" ma:internalName="TaxCatchAll" ma:showField="CatchAllData" ma:web="b01f1fda-c5de-4c4a-aeaf-89996165eb0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b01f1fda-c5de-4c4a-aeaf-89996165eb0d" xsi:nil="true"/>
    <lcf76f155ced4ddcb4097134ff3c332f xmlns="e6d15cc9-787b-40c8-bed9-024a43939d4e">
      <Terms xmlns="http://schemas.microsoft.com/office/infopath/2007/PartnerControls"/>
    </lcf76f155ced4ddcb4097134ff3c332f>
    <SharedWithUsers xmlns="b01f1fda-c5de-4c4a-aeaf-89996165eb0d">
      <UserInfo>
        <DisplayName/>
        <AccountId xsi:nil="true"/>
        <AccountType/>
      </UserInfo>
    </SharedWithUsers>
    <MediaLengthInSeconds xmlns="e6d15cc9-787b-40c8-bed9-024a43939d4e" xsi:nil="true"/>
  </documentManagement>
</p:properties>
</file>

<file path=customXml/itemProps1.xml><?xml version="1.0" encoding="utf-8"?>
<ds:datastoreItem xmlns:ds="http://schemas.openxmlformats.org/officeDocument/2006/customXml" ds:itemID="{B37F8106-6849-4FED-9EDE-98713AE5D378}"/>
</file>

<file path=customXml/itemProps2.xml><?xml version="1.0" encoding="utf-8"?>
<ds:datastoreItem xmlns:ds="http://schemas.openxmlformats.org/officeDocument/2006/customXml" ds:itemID="{8F282225-DB0A-4FA3-8486-3989C2F866F4}"/>
</file>

<file path=customXml/itemProps3.xml><?xml version="1.0" encoding="utf-8"?>
<ds:datastoreItem xmlns:ds="http://schemas.openxmlformats.org/officeDocument/2006/customXml" ds:itemID="{138153F7-6F9F-449E-BF58-F895EB712A77}"/>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Kavya Sri Masimukka[Capg-93]</cp:lastModifiedBy>
  <cp:revision/>
  <dcterms:created xsi:type="dcterms:W3CDTF">2006-11-14T05:53:19Z</dcterms:created>
  <dcterms:modified xsi:type="dcterms:W3CDTF">2022-11-10T01:38:49Z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0x0101009C59E6E1D68DB64D8D0AAF335162BA52</vt:lpwstr>
  </property>
  <property fmtid="{D5CDD505-2E9C-101B-9397-08002B2CF9AE}" pid="4" name="MediaServiceImageTags">
    <vt:lpwstr/>
  </property>
  <property fmtid="{D5CDD505-2E9C-101B-9397-08002B2CF9AE}" pid="5" name="Order">
    <vt:r8>234100</vt:r8>
  </property>
  <property fmtid="{D5CDD505-2E9C-101B-9397-08002B2CF9AE}" pid="6" name="xd_Signature">
    <vt:bool>false</vt:bool>
  </property>
  <property fmtid="{D5CDD505-2E9C-101B-9397-08002B2CF9AE}" pid="7" name="xd_ProgID">
    <vt:lpwstr/>
  </property>
  <property fmtid="{D5CDD505-2E9C-101B-9397-08002B2CF9AE}" pid="8" name="_SourceUrl">
    <vt:lpwstr/>
  </property>
  <property fmtid="{D5CDD505-2E9C-101B-9397-08002B2CF9AE}" pid="9" name="_SharedFileIndex">
    <vt:lpwstr/>
  </property>
  <property fmtid="{D5CDD505-2E9C-101B-9397-08002B2CF9AE}" pid="10" name="ComplianceAssetId">
    <vt:lpwstr/>
  </property>
  <property fmtid="{D5CDD505-2E9C-101B-9397-08002B2CF9AE}" pid="11" name="TemplateUrl">
    <vt:lpwstr/>
  </property>
  <property fmtid="{D5CDD505-2E9C-101B-9397-08002B2CF9AE}" pid="12" name="_ExtendedDescription">
    <vt:lpwstr/>
  </property>
  <property fmtid="{D5CDD505-2E9C-101B-9397-08002B2CF9AE}" pid="13" name="TriggerFlowInfo">
    <vt:lpwstr/>
  </property>
</Properties>
</file>